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Hypotheses" sheetId="2" state="visible" r:id="rId2"/>
    <sheet xmlns:r="http://schemas.openxmlformats.org/officeDocument/2006/relationships" name="Budget" sheetId="3" state="visible" r:id="rId3"/>
    <sheet xmlns:r="http://schemas.openxmlformats.org/officeDocument/2006/relationships" name="Moteurs" sheetId="4" state="visible" r:id="rId4"/>
    <sheet xmlns:r="http://schemas.openxmlformats.org/officeDocument/2006/relationships" name="Modeles" sheetId="5" state="visible" r:id="rId5"/>
    <sheet xmlns:r="http://schemas.openxmlformats.org/officeDocument/2006/relationships" name="Proj_S2_sans_moteur" sheetId="6" state="visible" r:id="rId6"/>
    <sheet xmlns:r="http://schemas.openxmlformats.org/officeDocument/2006/relationships" name="Proj_S2_solution" sheetId="7" state="visible" r:id="rId7"/>
    <sheet xmlns:r="http://schemas.openxmlformats.org/officeDocument/2006/relationships" name="ST_S2_ca30" sheetId="8" state="visible" r:id="rId8"/>
    <sheet xmlns:r="http://schemas.openxmlformats.org/officeDocument/2006/relationships" name="ST_S2_crise" sheetId="9" state="visible" r:id="rId9"/>
    <sheet xmlns:r="http://schemas.openxmlformats.org/officeDocument/2006/relationships" name="ST_S2_travaux" sheetId="10" state="visible" r:id="rId10"/>
    <sheet xmlns:r="http://schemas.openxmlformats.org/officeDocument/2006/relationships" name="ST_S2_energie" sheetId="11" state="visible" r:id="rId11"/>
    <sheet xmlns:r="http://schemas.openxmlformats.org/officeDocument/2006/relationships" name="ST_S2_salaires" sheetId="12" state="visible" r:id="rId12"/>
    <sheet xmlns:r="http://schemas.openxmlformats.org/officeDocument/2006/relationships" name="ST_S2_moteur" sheetId="13" state="visible" r:id="rId13"/>
    <sheet xmlns:r="http://schemas.openxmlformats.org/officeDocument/2006/relationships" name="ST_S2_cumul" sheetId="14" state="visible" r:id="rId14"/>
    <sheet xmlns:r="http://schemas.openxmlformats.org/officeDocument/2006/relationships" name="Proj_S1_solution" sheetId="15" state="visible" r:id="rId15"/>
    <sheet xmlns:r="http://schemas.openxmlformats.org/officeDocument/2006/relationships" name="ST_S1_cumul" sheetId="16" state="visible" r:id="rId16"/>
    <sheet xmlns:r="http://schemas.openxmlformats.org/officeDocument/2006/relationships" name="Proj_S3_solution" sheetId="17" state="visible" r:id="rId17"/>
    <sheet xmlns:r="http://schemas.openxmlformats.org/officeDocument/2006/relationships" name="Stress_synthese" sheetId="18" state="visible" r:id="rId18"/>
    <sheet xmlns:r="http://schemas.openxmlformats.org/officeDocument/2006/relationships" name="Sources" sheetId="19" state="visible" r:id="rId19"/>
  </sheets>
  <definedNames>
    <definedName name="S1_admin_fav">Hypotheses!$C$6</definedName>
    <definedName name="S1_admin">Hypotheses!$D$6</definedName>
    <definedName name="S1_admin_def">Hypotheses!$E$6</definedName>
    <definedName name="S1_assurances_autres_fav">Hypotheses!$C$7</definedName>
    <definedName name="S1_assurances_autres">Hypotheses!$D$7</definedName>
    <definedName name="S1_assurances_autres_def">Hypotheses!$E$7</definedName>
    <definedName name="S2_admin_fav">Hypotheses!$C$8</definedName>
    <definedName name="S2_admin">Hypotheses!$D$8</definedName>
    <definedName name="S2_admin_def">Hypotheses!$E$8</definedName>
    <definedName name="S2_assurances_autres_fav">Hypotheses!$C$9</definedName>
    <definedName name="S2_assurances_autres">Hypotheses!$D$9</definedName>
    <definedName name="S2_assurances_autres_def">Hypotheses!$E$9</definedName>
    <definedName name="S3_admin_fav">Hypotheses!$C$10</definedName>
    <definedName name="S3_admin">Hypotheses!$D$10</definedName>
    <definedName name="S3_admin_def">Hypotheses!$E$10</definedName>
    <definedName name="S3_assurances_autres_fav">Hypotheses!$C$11</definedName>
    <definedName name="S3_assurances_autres">Hypotheses!$D$11</definedName>
    <definedName name="S3_assurances_autres_def">Hypotheses!$E$11</definedName>
    <definedName name="assurance_taux_fav">Hypotheses!$C$12</definedName>
    <definedName name="assurance_taux">Hypotheses!$D$12</definedName>
    <definedName name="assurance_taux_def">Hypotheses!$E$12</definedName>
    <definedName name="ifi_abattement_rp_fav">Hypotheses!$C$13</definedName>
    <definedName name="ifi_abattement_rp">Hypotheses!$D$13</definedName>
    <definedName name="ifi_abattement_rp_def">Hypotheses!$E$13</definedName>
    <definedName name="taux_imprevus_fav">Hypotheses!$C$14</definedName>
    <definedName name="taux_imprevus">Hypotheses!$D$14</definedName>
    <definedName name="taux_imprevus_def">Hypotheses!$E$14</definedName>
    <definedName name="taux_invest_futurs_fav">Hypotheses!$C$15</definedName>
    <definedName name="taux_invest_futurs">Hypotheses!$D$15</definedName>
    <definedName name="taux_invest_futurs_def">Hypotheses!$E$15</definedName>
    <definedName name="tf_chateau_m2_fav">Hypotheses!$C$16</definedName>
    <definedName name="tf_chateau_m2">Hypotheses!$D$16</definedName>
    <definedName name="tf_chateau_m2_def">Hypotheses!$E$16</definedName>
    <definedName name="tf_dep_m2_fav">Hypotheses!$C$17</definedName>
    <definedName name="tf_dep_m2">Hypotheses!$D$17</definedName>
    <definedName name="tf_dep_m2_def">Hypotheses!$E$17</definedName>
    <definedName name="S1_honoraires_patrimoine_fav">Hypotheses!$C$19</definedName>
    <definedName name="S1_honoraires_patrimoine">Hypotheses!$D$19</definedName>
    <definedName name="S1_honoraires_patrimoine_def">Hypotheses!$E$19</definedName>
    <definedName name="S1_securite_fav">Hypotheses!$C$20</definedName>
    <definedName name="S1_securite">Hypotheses!$D$20</definedName>
    <definedName name="S1_securite_def">Hypotheses!$E$20</definedName>
    <definedName name="S1_vr_m2_fav">Hypotheses!$C$21</definedName>
    <definedName name="S1_vr_m2">Hypotheses!$D$21</definedName>
    <definedName name="S1_vr_m2_def">Hypotheses!$E$21</definedName>
    <definedName name="S2_honoraires_patrimoine_fav">Hypotheses!$C$22</definedName>
    <definedName name="S2_honoraires_patrimoine">Hypotheses!$D$22</definedName>
    <definedName name="S2_honoraires_patrimoine_def">Hypotheses!$E$22</definedName>
    <definedName name="S2_securite_fav">Hypotheses!$C$23</definedName>
    <definedName name="S2_securite">Hypotheses!$D$23</definedName>
    <definedName name="S2_securite_def">Hypotheses!$E$23</definedName>
    <definedName name="S2_vr_m2_fav">Hypotheses!$C$24</definedName>
    <definedName name="S2_vr_m2">Hypotheses!$D$24</definedName>
    <definedName name="S2_vr_m2_def">Hypotheses!$E$24</definedName>
    <definedName name="S3_honoraires_patrimoine_fav">Hypotheses!$C$25</definedName>
    <definedName name="S3_honoraires_patrimoine">Hypotheses!$D$25</definedName>
    <definedName name="S3_honoraires_patrimoine_def">Hypotheses!$E$25</definedName>
    <definedName name="S3_securite_fav">Hypotheses!$C$26</definedName>
    <definedName name="S3_securite">Hypotheses!$D$26</definedName>
    <definedName name="S3_securite_def">Hypotheses!$E$26</definedName>
    <definedName name="S3_vr_m2_fav">Hypotheses!$C$27</definedName>
    <definedName name="S3_vr_m2">Hypotheses!$D$27</definedName>
    <definedName name="S3_vr_m2_def">Hypotheses!$E$27</definedName>
    <definedName name="taux_aleas_travaux_fav">Hypotheses!$C$28</definedName>
    <definedName name="taux_aleas_travaux">Hypotheses!$D$28</definedName>
    <definedName name="taux_aleas_travaux_def">Hypotheses!$E$28</definedName>
    <definedName name="taux_entretien_courant_fav">Hypotheses!$C$29</definedName>
    <definedName name="taux_entretien_courant">Hypotheses!$D$29</definedName>
    <definedName name="taux_entretien_courant_def">Hypotheses!$E$29</definedName>
    <definedName name="taux_gros_entretien_fav">Hypotheses!$C$30</definedName>
    <definedName name="taux_gros_entretien">Hypotheses!$D$30</definedName>
    <definedName name="taux_gros_entretien_def">Hypotheses!$E$30</definedName>
    <definedName name="vr_dep_ratio_fav">Hypotheses!$C$31</definedName>
    <definedName name="vr_dep_ratio">Hypotheses!$D$31</definedName>
    <definedName name="vr_dep_ratio_def">Hypotheses!$E$31</definedName>
    <definedName name="cfg_M1_AUTO_fav">Hypotheses!$C$33</definedName>
    <definedName name="cfg_M1_AUTO">Hypotheses!$D$33</definedName>
    <definedName name="cfg_M1_AUTO_def">Hypotheses!$E$33</definedName>
    <definedName name="cfg_M1_BOIS_fav">Hypotheses!$C$34</definedName>
    <definedName name="cfg_M1_BOIS">Hypotheses!$D$34</definedName>
    <definedName name="cfg_M1_BOIS_def">Hypotheses!$E$34</definedName>
    <definedName name="cfg_M1_EQ_HDG_fav">Hypotheses!$C$35</definedName>
    <definedName name="cfg_M1_EQ_HDG">Hypotheses!$D$35</definedName>
    <definedName name="cfg_M1_EQ_HDG_def">Hypotheses!$E$35</definedName>
    <definedName name="cfg_M1_EQ_PRO_fav">Hypotheses!$C$36</definedName>
    <definedName name="cfg_M1_EQ_PRO">Hypotheses!$D$36</definedName>
    <definedName name="cfg_M1_EQ_PRO_def">Hypotheses!$E$36</definedName>
    <definedName name="cfg_M1_EQ_RET_fav">Hypotheses!$C$37</definedName>
    <definedName name="cfg_M1_EQ_RET">Hypotheses!$D$37</definedName>
    <definedName name="cfg_M1_EQ_RET_def">Hypotheses!$E$37</definedName>
    <definedName name="cfg_M1_EQ_STD_fav">Hypotheses!$C$38</definedName>
    <definedName name="cfg_M1_EQ_STD">Hypotheses!$D$38</definedName>
    <definedName name="cfg_M1_EQ_STD_def">Hypotheses!$E$38</definedName>
    <definedName name="cfg_M1_EVT_fav">Hypotheses!$C$39</definedName>
    <definedName name="cfg_M1_EVT">Hypotheses!$D$39</definedName>
    <definedName name="cfg_M1_EVT_def">Hypotheses!$E$39</definedName>
    <definedName name="cfg_M1_GITE_fav">Hypotheses!$C$40</definedName>
    <definedName name="cfg_M1_GITE">Hypotheses!$D$40</definedName>
    <definedName name="cfg_M1_GITE_def">Hypotheses!$E$40</definedName>
    <definedName name="cfg_M1_HOTEL_fav">Hypotheses!$C$41</definedName>
    <definedName name="cfg_M1_HOTEL">Hypotheses!$D$41</definedName>
    <definedName name="cfg_M1_HOTEL_def">Hypotheses!$E$41</definedName>
    <definedName name="cfg_M1_LOG_fav">Hypotheses!$C$42</definedName>
    <definedName name="cfg_M1_LOG">Hypotheses!$D$42</definedName>
    <definedName name="cfg_M1_LOG_def">Hypotheses!$E$42</definedName>
    <definedName name="cfg_M1_PV_fav">Hypotheses!$C$43</definedName>
    <definedName name="cfg_M1_PV">Hypotheses!$D$43</definedName>
    <definedName name="cfg_M1_PV_def">Hypotheses!$E$43</definedName>
    <definedName name="cfg_M1_REPRO_fav">Hypotheses!$C$44</definedName>
    <definedName name="cfg_M1_REPRO">Hypotheses!$D$44</definedName>
    <definedName name="cfg_M1_REPRO_def">Hypotheses!$E$44</definedName>
    <definedName name="cfg_M1_SEMJ_fav">Hypotheses!$C$45</definedName>
    <definedName name="cfg_M1_SEMJ">Hypotheses!$D$45</definedName>
    <definedName name="cfg_M1_SEMJ_def">Hypotheses!$E$45</definedName>
    <definedName name="cfg_M1_STOCK_fav">Hypotheses!$C$46</definedName>
    <definedName name="cfg_M1_STOCK">Hypotheses!$D$46</definedName>
    <definedName name="cfg_M1_STOCK_def">Hypotheses!$E$46</definedName>
    <definedName name="cfg_M1_TOURN_fav">Hypotheses!$C$47</definedName>
    <definedName name="cfg_M1_TOURN">Hypotheses!$D$47</definedName>
    <definedName name="cfg_M1_TOURN_def">Hypotheses!$E$47</definedName>
    <definedName name="cfg_M2_AUTO_fav">Hypotheses!$C$48</definedName>
    <definedName name="cfg_M2_AUTO">Hypotheses!$D$48</definedName>
    <definedName name="cfg_M2_AUTO_def">Hypotheses!$E$48</definedName>
    <definedName name="cfg_M2_BOIS_fav">Hypotheses!$C$49</definedName>
    <definedName name="cfg_M2_BOIS">Hypotheses!$D$49</definedName>
    <definedName name="cfg_M2_BOIS_def">Hypotheses!$E$49</definedName>
    <definedName name="cfg_M2_EQ_HDG_fav">Hypotheses!$C$50</definedName>
    <definedName name="cfg_M2_EQ_HDG">Hypotheses!$D$50</definedName>
    <definedName name="cfg_M2_EQ_HDG_def">Hypotheses!$E$50</definedName>
    <definedName name="cfg_M2_EQ_PRO_fav">Hypotheses!$C$51</definedName>
    <definedName name="cfg_M2_EQ_PRO">Hypotheses!$D$51</definedName>
    <definedName name="cfg_M2_EQ_PRO_def">Hypotheses!$E$51</definedName>
    <definedName name="cfg_M2_EQ_RET_fav">Hypotheses!$C$52</definedName>
    <definedName name="cfg_M2_EQ_RET">Hypotheses!$D$52</definedName>
    <definedName name="cfg_M2_EQ_RET_def">Hypotheses!$E$52</definedName>
    <definedName name="cfg_M2_EQ_STD_fav">Hypotheses!$C$53</definedName>
    <definedName name="cfg_M2_EQ_STD">Hypotheses!$D$53</definedName>
    <definedName name="cfg_M2_EQ_STD_def">Hypotheses!$E$53</definedName>
    <definedName name="cfg_M2_EVT_fav">Hypotheses!$C$54</definedName>
    <definedName name="cfg_M2_EVT">Hypotheses!$D$54</definedName>
    <definedName name="cfg_M2_EVT_def">Hypotheses!$E$54</definedName>
    <definedName name="cfg_M2_GITE_fav">Hypotheses!$C$55</definedName>
    <definedName name="cfg_M2_GITE">Hypotheses!$D$55</definedName>
    <definedName name="cfg_M2_GITE_def">Hypotheses!$E$55</definedName>
    <definedName name="cfg_M2_HOTEL_fav">Hypotheses!$C$56</definedName>
    <definedName name="cfg_M2_HOTEL">Hypotheses!$D$56</definedName>
    <definedName name="cfg_M2_HOTEL_def">Hypotheses!$E$56</definedName>
    <definedName name="cfg_M2_LOG_fav">Hypotheses!$C$57</definedName>
    <definedName name="cfg_M2_LOG">Hypotheses!$D$57</definedName>
    <definedName name="cfg_M2_LOG_def">Hypotheses!$E$57</definedName>
    <definedName name="cfg_M2_PV_fav">Hypotheses!$C$58</definedName>
    <definedName name="cfg_M2_PV">Hypotheses!$D$58</definedName>
    <definedName name="cfg_M2_PV_def">Hypotheses!$E$58</definedName>
    <definedName name="cfg_M2_REPRO_fav">Hypotheses!$C$59</definedName>
    <definedName name="cfg_M2_REPRO">Hypotheses!$D$59</definedName>
    <definedName name="cfg_M2_REPRO_def">Hypotheses!$E$59</definedName>
    <definedName name="cfg_M2_SEMJ_fav">Hypotheses!$C$60</definedName>
    <definedName name="cfg_M2_SEMJ">Hypotheses!$D$60</definedName>
    <definedName name="cfg_M2_SEMJ_def">Hypotheses!$E$60</definedName>
    <definedName name="cfg_M2_STOCK_fav">Hypotheses!$C$61</definedName>
    <definedName name="cfg_M2_STOCK">Hypotheses!$D$61</definedName>
    <definedName name="cfg_M2_STOCK_def">Hypotheses!$E$61</definedName>
    <definedName name="cfg_M2_TOURN_fav">Hypotheses!$C$62</definedName>
    <definedName name="cfg_M2_TOURN">Hypotheses!$D$62</definedName>
    <definedName name="cfg_M2_TOURN_def">Hypotheses!$E$62</definedName>
    <definedName name="cfg_M3_AUTO_fav">Hypotheses!$C$63</definedName>
    <definedName name="cfg_M3_AUTO">Hypotheses!$D$63</definedName>
    <definedName name="cfg_M3_AUTO_def">Hypotheses!$E$63</definedName>
    <definedName name="cfg_M3_BOIS_fav">Hypotheses!$C$64</definedName>
    <definedName name="cfg_M3_BOIS">Hypotheses!$D$64</definedName>
    <definedName name="cfg_M3_BOIS_def">Hypotheses!$E$64</definedName>
    <definedName name="cfg_M3_EQ_HDG_fav">Hypotheses!$C$65</definedName>
    <definedName name="cfg_M3_EQ_HDG">Hypotheses!$D$65</definedName>
    <definedName name="cfg_M3_EQ_HDG_def">Hypotheses!$E$65</definedName>
    <definedName name="cfg_M3_EQ_PRO_fav">Hypotheses!$C$66</definedName>
    <definedName name="cfg_M3_EQ_PRO">Hypotheses!$D$66</definedName>
    <definedName name="cfg_M3_EQ_PRO_def">Hypotheses!$E$66</definedName>
    <definedName name="cfg_M3_EQ_RET_fav">Hypotheses!$C$67</definedName>
    <definedName name="cfg_M3_EQ_RET">Hypotheses!$D$67</definedName>
    <definedName name="cfg_M3_EQ_RET_def">Hypotheses!$E$67</definedName>
    <definedName name="cfg_M3_EQ_STD_fav">Hypotheses!$C$68</definedName>
    <definedName name="cfg_M3_EQ_STD">Hypotheses!$D$68</definedName>
    <definedName name="cfg_M3_EQ_STD_def">Hypotheses!$E$68</definedName>
    <definedName name="cfg_M3_EVT_fav">Hypotheses!$C$69</definedName>
    <definedName name="cfg_M3_EVT">Hypotheses!$D$69</definedName>
    <definedName name="cfg_M3_EVT_def">Hypotheses!$E$69</definedName>
    <definedName name="cfg_M3_GITE_fav">Hypotheses!$C$70</definedName>
    <definedName name="cfg_M3_GITE">Hypotheses!$D$70</definedName>
    <definedName name="cfg_M3_GITE_def">Hypotheses!$E$70</definedName>
    <definedName name="cfg_M3_HOTEL_fav">Hypotheses!$C$71</definedName>
    <definedName name="cfg_M3_HOTEL">Hypotheses!$D$71</definedName>
    <definedName name="cfg_M3_HOTEL_def">Hypotheses!$E$71</definedName>
    <definedName name="cfg_M3_LOG_fav">Hypotheses!$C$72</definedName>
    <definedName name="cfg_M3_LOG">Hypotheses!$D$72</definedName>
    <definedName name="cfg_M3_LOG_def">Hypotheses!$E$72</definedName>
    <definedName name="cfg_M3_PV_fav">Hypotheses!$C$73</definedName>
    <definedName name="cfg_M3_PV">Hypotheses!$D$73</definedName>
    <definedName name="cfg_M3_PV_def">Hypotheses!$E$73</definedName>
    <definedName name="cfg_M3_REPRO_fav">Hypotheses!$C$74</definedName>
    <definedName name="cfg_M3_REPRO">Hypotheses!$D$74</definedName>
    <definedName name="cfg_M3_REPRO_def">Hypotheses!$E$74</definedName>
    <definedName name="cfg_M3_SEMJ_fav">Hypotheses!$C$75</definedName>
    <definedName name="cfg_M3_SEMJ">Hypotheses!$D$75</definedName>
    <definedName name="cfg_M3_SEMJ_def">Hypotheses!$E$75</definedName>
    <definedName name="cfg_M3_STOCK_fav">Hypotheses!$C$76</definedName>
    <definedName name="cfg_M3_STOCK">Hypotheses!$D$76</definedName>
    <definedName name="cfg_M3_STOCK_def">Hypotheses!$E$76</definedName>
    <definedName name="cfg_M3_TOURN_fav">Hypotheses!$C$77</definedName>
    <definedName name="cfg_M3_TOURN">Hypotheses!$D$77</definedName>
    <definedName name="cfg_M3_TOURN_def">Hypotheses!$E$77</definedName>
    <definedName name="cfg_M4_AUTO_fav">Hypotheses!$C$78</definedName>
    <definedName name="cfg_M4_AUTO">Hypotheses!$D$78</definedName>
    <definedName name="cfg_M4_AUTO_def">Hypotheses!$E$78</definedName>
    <definedName name="cfg_M4_BOIS_fav">Hypotheses!$C$79</definedName>
    <definedName name="cfg_M4_BOIS">Hypotheses!$D$79</definedName>
    <definedName name="cfg_M4_BOIS_def">Hypotheses!$E$79</definedName>
    <definedName name="cfg_M4_EQ_HDG_fav">Hypotheses!$C$80</definedName>
    <definedName name="cfg_M4_EQ_HDG">Hypotheses!$D$80</definedName>
    <definedName name="cfg_M4_EQ_HDG_def">Hypotheses!$E$80</definedName>
    <definedName name="cfg_M4_EQ_PRO_fav">Hypotheses!$C$81</definedName>
    <definedName name="cfg_M4_EQ_PRO">Hypotheses!$D$81</definedName>
    <definedName name="cfg_M4_EQ_PRO_def">Hypotheses!$E$81</definedName>
    <definedName name="cfg_M4_EQ_RET_fav">Hypotheses!$C$82</definedName>
    <definedName name="cfg_M4_EQ_RET">Hypotheses!$D$82</definedName>
    <definedName name="cfg_M4_EQ_RET_def">Hypotheses!$E$82</definedName>
    <definedName name="cfg_M4_EQ_STD_fav">Hypotheses!$C$83</definedName>
    <definedName name="cfg_M4_EQ_STD">Hypotheses!$D$83</definedName>
    <definedName name="cfg_M4_EQ_STD_def">Hypotheses!$E$83</definedName>
    <definedName name="cfg_M4_EVT_fav">Hypotheses!$C$84</definedName>
    <definedName name="cfg_M4_EVT">Hypotheses!$D$84</definedName>
    <definedName name="cfg_M4_EVT_def">Hypotheses!$E$84</definedName>
    <definedName name="cfg_M4_GITE_fav">Hypotheses!$C$85</definedName>
    <definedName name="cfg_M4_GITE">Hypotheses!$D$85</definedName>
    <definedName name="cfg_M4_GITE_def">Hypotheses!$E$85</definedName>
    <definedName name="cfg_M4_HOTEL_fav">Hypotheses!$C$86</definedName>
    <definedName name="cfg_M4_HOTEL">Hypotheses!$D$86</definedName>
    <definedName name="cfg_M4_HOTEL_def">Hypotheses!$E$86</definedName>
    <definedName name="cfg_M4_LOG_fav">Hypotheses!$C$87</definedName>
    <definedName name="cfg_M4_LOG">Hypotheses!$D$87</definedName>
    <definedName name="cfg_M4_LOG_def">Hypotheses!$E$87</definedName>
    <definedName name="cfg_M4_PV_fav">Hypotheses!$C$88</definedName>
    <definedName name="cfg_M4_PV">Hypotheses!$D$88</definedName>
    <definedName name="cfg_M4_PV_def">Hypotheses!$E$88</definedName>
    <definedName name="cfg_M4_REPRO_fav">Hypotheses!$C$89</definedName>
    <definedName name="cfg_M4_REPRO">Hypotheses!$D$89</definedName>
    <definedName name="cfg_M4_REPRO_def">Hypotheses!$E$89</definedName>
    <definedName name="cfg_M4_SEMJ_fav">Hypotheses!$C$90</definedName>
    <definedName name="cfg_M4_SEMJ">Hypotheses!$D$90</definedName>
    <definedName name="cfg_M4_SEMJ_def">Hypotheses!$E$90</definedName>
    <definedName name="cfg_M4_STOCK_fav">Hypotheses!$C$91</definedName>
    <definedName name="cfg_M4_STOCK">Hypotheses!$D$91</definedName>
    <definedName name="cfg_M4_STOCK_def">Hypotheses!$E$91</definedName>
    <definedName name="cfg_M4_TOURN_fav">Hypotheses!$C$92</definedName>
    <definedName name="cfg_M4_TOURN">Hypotheses!$D$92</definedName>
    <definedName name="cfg_M4_TOURN_def">Hypotheses!$E$92</definedName>
    <definedName name="cfg_M5_AUTO_fav">Hypotheses!$C$93</definedName>
    <definedName name="cfg_M5_AUTO">Hypotheses!$D$93</definedName>
    <definedName name="cfg_M5_AUTO_def">Hypotheses!$E$93</definedName>
    <definedName name="cfg_M5_BOIS_fav">Hypotheses!$C$94</definedName>
    <definedName name="cfg_M5_BOIS">Hypotheses!$D$94</definedName>
    <definedName name="cfg_M5_BOIS_def">Hypotheses!$E$94</definedName>
    <definedName name="cfg_M5_EQ_HDG_fav">Hypotheses!$C$95</definedName>
    <definedName name="cfg_M5_EQ_HDG">Hypotheses!$D$95</definedName>
    <definedName name="cfg_M5_EQ_HDG_def">Hypotheses!$E$95</definedName>
    <definedName name="cfg_M5_EQ_PRO_fav">Hypotheses!$C$96</definedName>
    <definedName name="cfg_M5_EQ_PRO">Hypotheses!$D$96</definedName>
    <definedName name="cfg_M5_EQ_PRO_def">Hypotheses!$E$96</definedName>
    <definedName name="cfg_M5_EQ_RET_fav">Hypotheses!$C$97</definedName>
    <definedName name="cfg_M5_EQ_RET">Hypotheses!$D$97</definedName>
    <definedName name="cfg_M5_EQ_RET_def">Hypotheses!$E$97</definedName>
    <definedName name="cfg_M5_EQ_STD_fav">Hypotheses!$C$98</definedName>
    <definedName name="cfg_M5_EQ_STD">Hypotheses!$D$98</definedName>
    <definedName name="cfg_M5_EQ_STD_def">Hypotheses!$E$98</definedName>
    <definedName name="cfg_M5_EVT_fav">Hypotheses!$C$99</definedName>
    <definedName name="cfg_M5_EVT">Hypotheses!$D$99</definedName>
    <definedName name="cfg_M5_EVT_def">Hypotheses!$E$99</definedName>
    <definedName name="cfg_M5_GITE_fav">Hypotheses!$C$100</definedName>
    <definedName name="cfg_M5_GITE">Hypotheses!$D$100</definedName>
    <definedName name="cfg_M5_GITE_def">Hypotheses!$E$100</definedName>
    <definedName name="cfg_M5_HOTEL_fav">Hypotheses!$C$101</definedName>
    <definedName name="cfg_M5_HOTEL">Hypotheses!$D$101</definedName>
    <definedName name="cfg_M5_HOTEL_def">Hypotheses!$E$101</definedName>
    <definedName name="cfg_M5_LOG_fav">Hypotheses!$C$102</definedName>
    <definedName name="cfg_M5_LOG">Hypotheses!$D$102</definedName>
    <definedName name="cfg_M5_LOG_def">Hypotheses!$E$102</definedName>
    <definedName name="cfg_M5_PV_fav">Hypotheses!$C$103</definedName>
    <definedName name="cfg_M5_PV">Hypotheses!$D$103</definedName>
    <definedName name="cfg_M5_PV_def">Hypotheses!$E$103</definedName>
    <definedName name="cfg_M5_REPRO_fav">Hypotheses!$C$104</definedName>
    <definedName name="cfg_M5_REPRO">Hypotheses!$D$104</definedName>
    <definedName name="cfg_M5_REPRO_def">Hypotheses!$E$104</definedName>
    <definedName name="cfg_M5_SEMJ_fav">Hypotheses!$C$105</definedName>
    <definedName name="cfg_M5_SEMJ">Hypotheses!$D$105</definedName>
    <definedName name="cfg_M5_SEMJ_def">Hypotheses!$E$105</definedName>
    <definedName name="cfg_M5_STOCK_fav">Hypotheses!$C$106</definedName>
    <definedName name="cfg_M5_STOCK">Hypotheses!$D$106</definedName>
    <definedName name="cfg_M5_STOCK_def">Hypotheses!$E$106</definedName>
    <definedName name="cfg_M5_TOURN_fav">Hypotheses!$C$107</definedName>
    <definedName name="cfg_M5_TOURN">Hypotheses!$D$107</definedName>
    <definedName name="cfg_M5_TOURN_def">Hypotheses!$E$107</definedName>
    <definedName name="cfg_M6_AUTO_fav">Hypotheses!$C$108</definedName>
    <definedName name="cfg_M6_AUTO">Hypotheses!$D$108</definedName>
    <definedName name="cfg_M6_AUTO_def">Hypotheses!$E$108</definedName>
    <definedName name="cfg_M6_BOIS_fav">Hypotheses!$C$109</definedName>
    <definedName name="cfg_M6_BOIS">Hypotheses!$D$109</definedName>
    <definedName name="cfg_M6_BOIS_def">Hypotheses!$E$109</definedName>
    <definedName name="cfg_M6_EQ_HDG_fav">Hypotheses!$C$110</definedName>
    <definedName name="cfg_M6_EQ_HDG">Hypotheses!$D$110</definedName>
    <definedName name="cfg_M6_EQ_HDG_def">Hypotheses!$E$110</definedName>
    <definedName name="cfg_M6_EQ_PRO_fav">Hypotheses!$C$111</definedName>
    <definedName name="cfg_M6_EQ_PRO">Hypotheses!$D$111</definedName>
    <definedName name="cfg_M6_EQ_PRO_def">Hypotheses!$E$111</definedName>
    <definedName name="cfg_M6_EQ_RET_fav">Hypotheses!$C$112</definedName>
    <definedName name="cfg_M6_EQ_RET">Hypotheses!$D$112</definedName>
    <definedName name="cfg_M6_EQ_RET_def">Hypotheses!$E$112</definedName>
    <definedName name="cfg_M6_EQ_STD_fav">Hypotheses!$C$113</definedName>
    <definedName name="cfg_M6_EQ_STD">Hypotheses!$D$113</definedName>
    <definedName name="cfg_M6_EQ_STD_def">Hypotheses!$E$113</definedName>
    <definedName name="cfg_M6_EVT_fav">Hypotheses!$C$114</definedName>
    <definedName name="cfg_M6_EVT">Hypotheses!$D$114</definedName>
    <definedName name="cfg_M6_EVT_def">Hypotheses!$E$114</definedName>
    <definedName name="cfg_M6_GITE_fav">Hypotheses!$C$115</definedName>
    <definedName name="cfg_M6_GITE">Hypotheses!$D$115</definedName>
    <definedName name="cfg_M6_GITE_def">Hypotheses!$E$115</definedName>
    <definedName name="cfg_M6_HOTEL_fav">Hypotheses!$C$116</definedName>
    <definedName name="cfg_M6_HOTEL">Hypotheses!$D$116</definedName>
    <definedName name="cfg_M6_HOTEL_def">Hypotheses!$E$116</definedName>
    <definedName name="cfg_M6_LOG_fav">Hypotheses!$C$117</definedName>
    <definedName name="cfg_M6_LOG">Hypotheses!$D$117</definedName>
    <definedName name="cfg_M6_LOG_def">Hypotheses!$E$117</definedName>
    <definedName name="cfg_M6_PV_fav">Hypotheses!$C$118</definedName>
    <definedName name="cfg_M6_PV">Hypotheses!$D$118</definedName>
    <definedName name="cfg_M6_PV_def">Hypotheses!$E$118</definedName>
    <definedName name="cfg_M6_REPRO_fav">Hypotheses!$C$119</definedName>
    <definedName name="cfg_M6_REPRO">Hypotheses!$D$119</definedName>
    <definedName name="cfg_M6_REPRO_def">Hypotheses!$E$119</definedName>
    <definedName name="cfg_M6_SEMJ_fav">Hypotheses!$C$120</definedName>
    <definedName name="cfg_M6_SEMJ">Hypotheses!$D$120</definedName>
    <definedName name="cfg_M6_SEMJ_def">Hypotheses!$E$120</definedName>
    <definedName name="cfg_M6_STOCK_fav">Hypotheses!$C$121</definedName>
    <definedName name="cfg_M6_STOCK">Hypotheses!$D$121</definedName>
    <definedName name="cfg_M6_STOCK_def">Hypotheses!$E$121</definedName>
    <definedName name="cfg_M6_TOURN_fav">Hypotheses!$C$122</definedName>
    <definedName name="cfg_M6_TOURN">Hypotheses!$D$122</definedName>
    <definedName name="cfg_M6_TOURN_def">Hypotheses!$E$122</definedName>
    <definedName name="fuite_fiscale_fav">Hypotheses!$C$123</definedName>
    <definedName name="fuite_fiscale">Hypotheses!$D$123</definedName>
    <definedName name="fuite_fiscale_def">Hypotheses!$E$123</definedName>
    <definedName name="S1_valeur_equip_fav">Hypotheses!$C$125</definedName>
    <definedName name="S1_valeur_equip">Hypotheses!$D$125</definedName>
    <definedName name="S1_valeur_equip_def">Hypotheses!$E$125</definedName>
    <definedName name="S2_valeur_equip_fav">Hypotheses!$C$126</definedName>
    <definedName name="S2_valeur_equip">Hypotheses!$D$126</definedName>
    <definedName name="S2_valeur_equip_def">Hypotheses!$E$126</definedName>
    <definedName name="S3_valeur_equip_fav">Hypotheses!$C$127</definedName>
    <definedName name="S3_valeur_equip">Hypotheses!$D$127</definedName>
    <definedName name="S3_valeur_equip_def">Hypotheses!$E$127</definedName>
    <definedName name="bois_cout_ha_fav">Hypotheses!$C$128</definedName>
    <definedName name="bois_cout_ha">Hypotheses!$D$128</definedName>
    <definedName name="bois_cout_ha_def">Hypotheses!$E$128</definedName>
    <definedName name="box_entretien_fav">Hypotheses!$C$129</definedName>
    <definedName name="box_entretien">Hypotheses!$D$129</definedName>
    <definedName name="box_entretien_def">Hypotheses!$E$129</definedName>
    <definedName name="cheval_an_fav">Hypotheses!$C$130</definedName>
    <definedName name="cheval_an">Hypotheses!$D$130</definedName>
    <definedName name="cheval_an_def">Hypotheses!$E$130</definedName>
    <definedName name="cloture_ml_fav">Hypotheses!$C$131</definedName>
    <definedName name="cloture_ml">Hypotheses!$D$131</definedName>
    <definedName name="cloture_ml_def">Hypotheses!$E$131</definedName>
    <definedName name="cloture_vie_fav">Hypotheses!$C$132</definedName>
    <definedName name="cloture_vie">Hypotheses!$D$132</definedName>
    <definedName name="cloture_vie_def">Hypotheses!$E$132</definedName>
    <definedName name="equip_entretien_taux_fav">Hypotheses!$C$133</definedName>
    <definedName name="equip_entretien_taux">Hypotheses!$D$133</definedName>
    <definedName name="equip_entretien_taux_def">Hypotheses!$E$133</definedName>
    <definedName name="equip_vie_fav">Hypotheses!$C$134</definedName>
    <definedName name="equip_vie">Hypotheses!$D$134</definedName>
    <definedName name="equip_vie_def">Hypotheses!$E$134</definedName>
    <definedName name="jardin_ha_fav">Hypotheses!$C$135</definedName>
    <definedName name="jardin_ha">Hypotheses!$D$135</definedName>
    <definedName name="jardin_ha_def">Hypotheses!$E$135</definedName>
    <definedName name="manege_cout_m2_fav">Hypotheses!$C$136</definedName>
    <definedName name="manege_cout_m2">Hypotheses!$D$136</definedName>
    <definedName name="manege_cout_m2_def">Hypotheses!$E$136</definedName>
    <definedName name="manege_vie_fav">Hypotheses!$C$137</definedName>
    <definedName name="manege_vie">Hypotheses!$D$137</definedName>
    <definedName name="manege_vie_def">Hypotheses!$E$137</definedName>
    <definedName name="parc_ha_fav">Hypotheses!$C$138</definedName>
    <definedName name="parc_ha">Hypotheses!$D$138</definedName>
    <definedName name="parc_ha_def">Hypotheses!$E$138</definedName>
    <definedName name="prairie_ha_fav">Hypotheses!$C$139</definedName>
    <definedName name="prairie_ha">Hypotheses!$D$139</definedName>
    <definedName name="prairie_ha_def">Hypotheses!$E$139</definedName>
    <definedName name="sol_cout_m2_fav">Hypotheses!$C$140</definedName>
    <definedName name="sol_cout_m2">Hypotheses!$D$140</definedName>
    <definedName name="sol_cout_m2_def">Hypotheses!$E$140</definedName>
    <definedName name="sol_vie_fav">Hypotheses!$C$141</definedName>
    <definedName name="sol_vie">Hypotheses!$D$141</definedName>
    <definedName name="sol_vie_def">Hypotheses!$E$141</definedName>
    <definedName name="tfnb_ha_fav">Hypotheses!$C$142</definedName>
    <definedName name="tfnb_ha">Hypotheses!$D$142</definedName>
    <definedName name="tfnb_ha_def">Hypotheses!$E$142</definedName>
    <definedName name="hot_autres_charges_fav">Hypotheses!$C$144</definedName>
    <definedName name="hot_autres_charges">Hypotheses!$D$144</definedName>
    <definedName name="hot_autres_charges_def">Hypotheses!$E$144</definedName>
    <definedName name="hot_autres_recettes_fav">Hypotheses!$C$145</definedName>
    <definedName name="hot_autres_recettes">Hypotheses!$D$145</definedName>
    <definedName name="hot_autres_recettes_def">Hypotheses!$E$145</definedName>
    <definedName name="hot_capex_chambre_fav">Hypotheses!$C$146</definedName>
    <definedName name="hot_capex_chambre">Hypotheses!$D$146</definedName>
    <definedName name="hot_capex_chambre_def">Hypotheses!$E$146</definedName>
    <definedName name="hot_chambres_fav">Hypotheses!$C$147</definedName>
    <definedName name="hot_chambres">Hypotheses!$D$147</definedName>
    <definedName name="hot_chambres_def">Hypotheses!$E$147</definedName>
    <definedName name="hot_cout_etp_fav">Hypotheses!$C$148</definedName>
    <definedName name="hot_cout_etp">Hypotheses!$D$148</definedName>
    <definedName name="hot_cout_etp_def">Hypotheses!$E$148</definedName>
    <definedName name="hot_etp_chambre_fav">Hypotheses!$C$149</definedName>
    <definedName name="hot_etp_chambre">Hypotheses!$D$149</definedName>
    <definedName name="hot_etp_chambre_def">Hypotheses!$E$149</definedName>
    <definedName name="hot_revpar_fav">Hypotheses!$C$150</definedName>
    <definedName name="hot_revpar">Hypotheses!$D$150</definedName>
    <definedName name="hot_revpar_def">Hypotheses!$E$150</definedName>
    <definedName name="dot_taux_net_fav">Hypotheses!$C$152</definedName>
    <definedName name="dot_taux_net">Hypotheses!$D$152</definedName>
    <definedName name="dot_taux_net_def">Hypotheses!$E$152</definedName>
    <definedName name="ent_conversion_fav">Hypotheses!$C$153</definedName>
    <definedName name="ent_conversion">Hypotheses!$D$153</definedName>
    <definedName name="ent_conversion_def">Hypotheses!$E$153</definedName>
    <definedName name="bois_net_ha_fav">Hypotheses!$C$155</definedName>
    <definedName name="bois_net_ha">Hypotheses!$D$155</definedName>
    <definedName name="bois_net_ha_def">Hypotheses!$E$155</definedName>
    <definedName name="pv_ha_fav">Hypotheses!$C$156</definedName>
    <definedName name="pv_ha">Hypotheses!$D$156</definedName>
    <definedName name="pv_ha_def">Hypotheses!$E$156</definedName>
    <definedName name="pv_loyer_ha_fav">Hypotheses!$C$157</definedName>
    <definedName name="pv_loyer_ha">Hypotheses!$D$157</definedName>
    <definedName name="pv_loyer_ha_def">Hypotheses!$E$157</definedName>
    <definedName name="eq_hdg_boxes_fav">Hypotheses!$C$159</definedName>
    <definedName name="eq_hdg_boxes">Hypotheses!$D$159</definedName>
    <definedName name="eq_hdg_boxes_def">Hypotheses!$E$159</definedName>
    <definedName name="eq_hdg_cout_fixe_fav">Hypotheses!$C$160</definedName>
    <definedName name="eq_hdg_cout_fixe">Hypotheses!$D$160</definedName>
    <definedName name="eq_hdg_cout_fixe_def">Hypotheses!$E$160</definedName>
    <definedName name="eq_hdg_cout_var_fav">Hypotheses!$C$161</definedName>
    <definedName name="eq_hdg_cout_var">Hypotheses!$D$161</definedName>
    <definedName name="eq_hdg_cout_var_def">Hypotheses!$E$161</definedName>
    <definedName name="eq_hdg_occ_fav">Hypotheses!$C$162</definedName>
    <definedName name="eq_hdg_occ">Hypotheses!$D$162</definedName>
    <definedName name="eq_hdg_occ_def">Hypotheses!$E$162</definedName>
    <definedName name="eq_hdg_prix_ht_fav">Hypotheses!$C$163</definedName>
    <definedName name="eq_hdg_prix_ht">Hypotheses!$D$163</definedName>
    <definedName name="eq_hdg_prix_ht_def">Hypotheses!$E$163</definedName>
    <definedName name="eq_pro_boxes_fav">Hypotheses!$C$164</definedName>
    <definedName name="eq_pro_boxes">Hypotheses!$D$164</definedName>
    <definedName name="eq_pro_boxes_def">Hypotheses!$E$164</definedName>
    <definedName name="eq_pro_cout_box_fav">Hypotheses!$C$165</definedName>
    <definedName name="eq_pro_cout_box">Hypotheses!$D$165</definedName>
    <definedName name="eq_pro_cout_box_def">Hypotheses!$E$165</definedName>
    <definedName name="eq_pro_loyer_box_fav">Hypotheses!$C$166</definedName>
    <definedName name="eq_pro_loyer_box">Hypotheses!$D$166</definedName>
    <definedName name="eq_pro_loyer_box_def">Hypotheses!$E$166</definedName>
    <definedName name="eq_ret_chevaux_fav">Hypotheses!$C$167</definedName>
    <definedName name="eq_ret_chevaux">Hypotheses!$D$167</definedName>
    <definedName name="eq_ret_chevaux_def">Hypotheses!$E$167</definedName>
    <definedName name="eq_ret_cout_fav">Hypotheses!$C$168</definedName>
    <definedName name="eq_ret_cout">Hypotheses!$D$168</definedName>
    <definedName name="eq_ret_cout_def">Hypotheses!$E$168</definedName>
    <definedName name="eq_ret_occ_fav">Hypotheses!$C$169</definedName>
    <definedName name="eq_ret_occ">Hypotheses!$D$169</definedName>
    <definedName name="eq_ret_occ_def">Hypotheses!$E$169</definedName>
    <definedName name="eq_ret_prix_ht_fav">Hypotheses!$C$170</definedName>
    <definedName name="eq_ret_prix_ht">Hypotheses!$D$170</definedName>
    <definedName name="eq_ret_prix_ht_def">Hypotheses!$E$170</definedName>
    <definedName name="eq_std_boxes_fav">Hypotheses!$C$171</definedName>
    <definedName name="eq_std_boxes">Hypotheses!$D$171</definedName>
    <definedName name="eq_std_boxes_def">Hypotheses!$E$171</definedName>
    <definedName name="eq_std_cout_fixe_fav">Hypotheses!$C$172</definedName>
    <definedName name="eq_std_cout_fixe">Hypotheses!$D$172</definedName>
    <definedName name="eq_std_cout_fixe_def">Hypotheses!$E$172</definedName>
    <definedName name="eq_std_cout_var_fav">Hypotheses!$C$173</definedName>
    <definedName name="eq_std_cout_var">Hypotheses!$D$173</definedName>
    <definedName name="eq_std_cout_var_def">Hypotheses!$E$173</definedName>
    <definedName name="eq_std_occ_fav">Hypotheses!$C$174</definedName>
    <definedName name="eq_std_occ">Hypotheses!$D$174</definedName>
    <definedName name="eq_std_occ_def">Hypotheses!$E$174</definedName>
    <definedName name="eq_std_prix_ht_fav">Hypotheses!$C$175</definedName>
    <definedName name="eq_std_prix_ht">Hypotheses!$D$175</definedName>
    <definedName name="eq_std_prix_ht_def">Hypotheses!$E$175</definedName>
    <definedName name="repro_contrib_fav">Hypotheses!$C$176</definedName>
    <definedName name="repro_contrib">Hypotheses!$D$176</definedName>
    <definedName name="repro_contrib_def">Hypotheses!$E$176</definedName>
    <definedName name="auto_capex_fav">Hypotheses!$C$178</definedName>
    <definedName name="auto_capex">Hypotheses!$D$178</definedName>
    <definedName name="auto_capex_def">Hypotheses!$E$178</definedName>
    <definedName name="auto_fixe_fav">Hypotheses!$C$179</definedName>
    <definedName name="auto_fixe">Hypotheses!$D$179</definedName>
    <definedName name="auto_fixe_def">Hypotheses!$E$179</definedName>
    <definedName name="auto_occ_fav">Hypotheses!$C$180</definedName>
    <definedName name="auto_occ">Hypotheses!$D$180</definedName>
    <definedName name="auto_occ_def">Hypotheses!$E$180</definedName>
    <definedName name="auto_places_fav">Hypotheses!$C$181</definedName>
    <definedName name="auto_places">Hypotheses!$D$181</definedName>
    <definedName name="auto_places_def">Hypotheses!$E$181</definedName>
    <definedName name="auto_prix_fav">Hypotheses!$C$182</definedName>
    <definedName name="auto_prix">Hypotheses!$D$182</definedName>
    <definedName name="auto_prix_def">Hypotheses!$E$182</definedName>
    <definedName name="evt_capex_fav">Hypotheses!$C$183</definedName>
    <definedName name="evt_capex">Hypotheses!$D$183</definedName>
    <definedName name="evt_capex_def">Hypotheses!$E$183</definedName>
    <definedName name="evt_fixe_fav">Hypotheses!$C$184</definedName>
    <definedName name="evt_fixe">Hypotheses!$D$184</definedName>
    <definedName name="evt_fixe_def">Hypotheses!$E$184</definedName>
    <definedName name="evt_nb_fav">Hypotheses!$C$185</definedName>
    <definedName name="evt_nb">Hypotheses!$D$185</definedName>
    <definedName name="evt_nb_def">Hypotheses!$E$185</definedName>
    <definedName name="evt_prix_ht_fav">Hypotheses!$C$186</definedName>
    <definedName name="evt_prix_ht">Hypotheses!$D$186</definedName>
    <definedName name="evt_prix_ht_def">Hypotheses!$E$186</definedName>
    <definedName name="evt_var_fav">Hypotheses!$C$187</definedName>
    <definedName name="evt_var">Hypotheses!$D$187</definedName>
    <definedName name="evt_var_def">Hypotheses!$E$187</definedName>
    <definedName name="gite_capex_fav">Hypotheses!$C$188</definedName>
    <definedName name="gite_capex">Hypotheses!$D$188</definedName>
    <definedName name="gite_capex_def">Hypotheses!$E$188</definedName>
    <definedName name="gite_fixe_fav">Hypotheses!$C$189</definedName>
    <definedName name="gite_fixe">Hypotheses!$D$189</definedName>
    <definedName name="gite_fixe_def">Hypotheses!$E$189</definedName>
    <definedName name="gite_prix_semaine_fav">Hypotheses!$C$190</definedName>
    <definedName name="gite_prix_semaine">Hypotheses!$D$190</definedName>
    <definedName name="gite_prix_semaine_def">Hypotheses!$E$190</definedName>
    <definedName name="gite_semaines_fav">Hypotheses!$C$191</definedName>
    <definedName name="gite_semaines">Hypotheses!$D$191</definedName>
    <definedName name="gite_semaines_def">Hypotheses!$E$191</definedName>
    <definedName name="gite_var_fav">Hypotheses!$C$192</definedName>
    <definedName name="gite_var">Hypotheses!$D$192</definedName>
    <definedName name="gite_var_def">Hypotheses!$E$192</definedName>
    <definedName name="log_capex_m2_fav">Hypotheses!$C$193</definedName>
    <definedName name="log_capex_m2">Hypotheses!$D$193</definedName>
    <definedName name="log_capex_m2_def">Hypotheses!$E$193</definedName>
    <definedName name="log_charges_fav">Hypotheses!$C$194</definedName>
    <definedName name="log_charges">Hypotheses!$D$194</definedName>
    <definedName name="log_charges_def">Hypotheses!$E$194</definedName>
    <definedName name="log_loyer_m2_fav">Hypotheses!$C$195</definedName>
    <definedName name="log_loyer_m2">Hypotheses!$D$195</definedName>
    <definedName name="log_loyer_m2_def">Hypotheses!$E$195</definedName>
    <definedName name="log_m2_fav">Hypotheses!$C$196</definedName>
    <definedName name="log_m2">Hypotheses!$D$196</definedName>
    <definedName name="log_m2_def">Hypotheses!$E$196</definedName>
    <definedName name="log_vacance_fav">Hypotheses!$C$197</definedName>
    <definedName name="log_vacance">Hypotheses!$D$197</definedName>
    <definedName name="log_vacance_def">Hypotheses!$E$197</definedName>
    <definedName name="semj_jours_fav">Hypotheses!$C$198</definedName>
    <definedName name="semj_jours">Hypotheses!$D$198</definedName>
    <definedName name="semj_jours_def">Hypotheses!$E$198</definedName>
    <definedName name="semj_marge_fav">Hypotheses!$C$199</definedName>
    <definedName name="semj_marge">Hypotheses!$D$199</definedName>
    <definedName name="semj_marge_def">Hypotheses!$E$199</definedName>
    <definedName name="semj_pers_fav">Hypotheses!$C$200</definedName>
    <definedName name="semj_pers">Hypotheses!$D$200</definedName>
    <definedName name="semj_pers_def">Hypotheses!$E$200</definedName>
    <definedName name="semj_prix_fav">Hypotheses!$C$201</definedName>
    <definedName name="semj_prix">Hypotheses!$D$201</definedName>
    <definedName name="semj_prix_def">Hypotheses!$E$201</definedName>
    <definedName name="stock_capex_fav">Hypotheses!$C$202</definedName>
    <definedName name="stock_capex">Hypotheses!$D$202</definedName>
    <definedName name="stock_capex_def">Hypotheses!$E$202</definedName>
    <definedName name="stock_occ_fav">Hypotheses!$C$203</definedName>
    <definedName name="stock_occ">Hypotheses!$D$203</definedName>
    <definedName name="stock_occ_def">Hypotheses!$E$203</definedName>
    <definedName name="stock_places_fav">Hypotheses!$C$204</definedName>
    <definedName name="stock_places">Hypotheses!$D$204</definedName>
    <definedName name="stock_places_def">Hypotheses!$E$204</definedName>
    <definedName name="stock_prix_fav">Hypotheses!$C$205</definedName>
    <definedName name="stock_prix">Hypotheses!$D$205</definedName>
    <definedName name="stock_prix_def">Hypotheses!$E$205</definedName>
    <definedName name="taux_renouv_capex_fav">Hypotheses!$C$206</definedName>
    <definedName name="taux_renouv_capex">Hypotheses!$D$206</definedName>
    <definedName name="taux_renouv_capex_def">Hypotheses!$E$206</definedName>
    <definedName name="tourn_jours_fav">Hypotheses!$C$207</definedName>
    <definedName name="tourn_jours">Hypotheses!$D$207</definedName>
    <definedName name="tourn_jours_def">Hypotheses!$E$207</definedName>
    <definedName name="tourn_tarif_fav">Hypotheses!$C$208</definedName>
    <definedName name="tourn_tarif">Hypotheses!$D$208</definedName>
    <definedName name="tourn_tarif_def">Hypotheses!$E$208</definedName>
    <definedName name="tourn_var_fav">Hypotheses!$C$209</definedName>
    <definedName name="tourn_var">Hypotheses!$D$209</definedName>
    <definedName name="tourn_var_def">Hypotheses!$E$209</definedName>
    <definedName name="S1_cout_direction_fav">Hypotheses!$C$211</definedName>
    <definedName name="S1_cout_direction">Hypotheses!$D$211</definedName>
    <definedName name="S1_cout_direction_def">Hypotheses!$E$211</definedName>
    <definedName name="S1_cout_gouvernance_fav">Hypotheses!$C$212</definedName>
    <definedName name="S1_cout_gouvernance">Hypotheses!$D$212</definedName>
    <definedName name="S1_cout_gouvernance_def">Hypotheses!$E$212</definedName>
    <definedName name="S2_cout_direction_fav">Hypotheses!$C$213</definedName>
    <definedName name="S2_cout_direction">Hypotheses!$D$213</definedName>
    <definedName name="S2_cout_direction_def">Hypotheses!$E$213</definedName>
    <definedName name="S2_cout_gouvernance_fav">Hypotheses!$C$214</definedName>
    <definedName name="S2_cout_gouvernance">Hypotheses!$D$214</definedName>
    <definedName name="S2_cout_gouvernance_def">Hypotheses!$E$214</definedName>
    <definedName name="S3_cout_direction_fav">Hypotheses!$C$215</definedName>
    <definedName name="S3_cout_direction">Hypotheses!$D$215</definedName>
    <definedName name="S3_cout_direction_def">Hypotheses!$E$215</definedName>
    <definedName name="S3_cout_gouvernance_fav">Hypotheses!$C$216</definedName>
    <definedName name="S3_cout_gouvernance">Hypotheses!$D$216</definedName>
    <definedName name="S3_cout_gouvernance_def">Hypotheses!$E$216</definedName>
    <definedName name="cout_admin_salarie_fav">Hypotheses!$C$217</definedName>
    <definedName name="cout_admin_salarie">Hypotheses!$D$217</definedName>
    <definedName name="cout_admin_salarie_def">Hypotheses!$E$217</definedName>
    <definedName name="cout_agent_entretien_fav">Hypotheses!$C$218</definedName>
    <definedName name="cout_agent_entretien">Hypotheses!$D$218</definedName>
    <definedName name="cout_agent_entretien_def">Hypotheses!$E$218</definedName>
    <definedName name="cout_chef_jardinier_fav">Hypotheses!$C$219</definedName>
    <definedName name="cout_chef_jardinier">Hypotheses!$D$219</definedName>
    <definedName name="cout_chef_jardinier_def">Hypotheses!$E$219</definedName>
    <definedName name="cout_jardinier_fav">Hypotheses!$C$220</definedName>
    <definedName name="cout_jardinier">Hypotheses!$D$220</definedName>
    <definedName name="cout_jardinier_def">Hypotheses!$E$220</definedName>
    <definedName name="cout_maison_fav">Hypotheses!$C$221</definedName>
    <definedName name="cout_maison">Hypotheses!$D$221</definedName>
    <definedName name="cout_maison_def">Hypotheses!$E$221</definedName>
    <definedName name="cout_ouvrier_agricole_fav">Hypotheses!$C$222</definedName>
    <definedName name="cout_ouvrier_agricole">Hypotheses!$D$222</definedName>
    <definedName name="cout_ouvrier_agricole_def">Hypotheses!$E$222</definedName>
    <definedName name="cout_resp_ecurie_fav">Hypotheses!$C$223</definedName>
    <definedName name="cout_resp_ecurie">Hypotheses!$D$223</definedName>
    <definedName name="cout_resp_ecurie_def">Hypotheses!$E$223</definedName>
    <definedName name="cout_soigneur_fav">Hypotheses!$C$224</definedName>
    <definedName name="cout_soigneur">Hypotheses!$D$224</definedName>
    <definedName name="cout_soigneur_def">Hypotheses!$E$224</definedName>
    <definedName name="S1_etp_admin_fav">Hypotheses!$C$226</definedName>
    <definedName name="S1_etp_admin">Hypotheses!$D$226</definedName>
    <definedName name="S1_etp_admin_def">Hypotheses!$E$226</definedName>
    <definedName name="S1_etp_agricole_fav">Hypotheses!$C$227</definedName>
    <definedName name="S1_etp_agricole">Hypotheses!$D$227</definedName>
    <definedName name="S1_etp_agricole_def">Hypotheses!$E$227</definedName>
    <definedName name="S1_etp_chef_jardinier_fav">Hypotheses!$C$228</definedName>
    <definedName name="S1_etp_chef_jardinier">Hypotheses!$D$228</definedName>
    <definedName name="S1_etp_chef_jardinier_def">Hypotheses!$E$228</definedName>
    <definedName name="S1_etp_direction_fav">Hypotheses!$C$229</definedName>
    <definedName name="S1_etp_direction">Hypotheses!$D$229</definedName>
    <definedName name="S1_etp_direction_def">Hypotheses!$E$229</definedName>
    <definedName name="S1_etp_entretien_fav">Hypotheses!$C$230</definedName>
    <definedName name="S1_etp_entretien">Hypotheses!$D$230</definedName>
    <definedName name="S1_etp_entretien_def">Hypotheses!$E$230</definedName>
    <definedName name="S1_etp_gouvernance_fav">Hypotheses!$C$231</definedName>
    <definedName name="S1_etp_gouvernance">Hypotheses!$D$231</definedName>
    <definedName name="S1_etp_gouvernance_def">Hypotheses!$E$231</definedName>
    <definedName name="S1_etp_jardin_fav">Hypotheses!$C$232</definedName>
    <definedName name="S1_etp_jardin">Hypotheses!$D$232</definedName>
    <definedName name="S1_etp_jardin_def">Hypotheses!$E$232</definedName>
    <definedName name="S1_etp_maison_fav">Hypotheses!$C$233</definedName>
    <definedName name="S1_etp_maison">Hypotheses!$D$233</definedName>
    <definedName name="S1_etp_maison_def">Hypotheses!$E$233</definedName>
    <definedName name="S1_etp_resp_ecurie_fav">Hypotheses!$C$234</definedName>
    <definedName name="S1_etp_resp_ecurie">Hypotheses!$D$234</definedName>
    <definedName name="S1_etp_resp_ecurie_def">Hypotheses!$E$234</definedName>
    <definedName name="S1_etp_soigneur_fav">Hypotheses!$C$235</definedName>
    <definedName name="S1_etp_soigneur">Hypotheses!$D$235</definedName>
    <definedName name="S1_etp_soigneur_def">Hypotheses!$E$235</definedName>
    <definedName name="S2_etp_admin_fav">Hypotheses!$C$236</definedName>
    <definedName name="S2_etp_admin">Hypotheses!$D$236</definedName>
    <definedName name="S2_etp_admin_def">Hypotheses!$E$236</definedName>
    <definedName name="S2_etp_agricole_fav">Hypotheses!$C$237</definedName>
    <definedName name="S2_etp_agricole">Hypotheses!$D$237</definedName>
    <definedName name="S2_etp_agricole_def">Hypotheses!$E$237</definedName>
    <definedName name="S2_etp_chef_jardinier_fav">Hypotheses!$C$238</definedName>
    <definedName name="S2_etp_chef_jardinier">Hypotheses!$D$238</definedName>
    <definedName name="S2_etp_chef_jardinier_def">Hypotheses!$E$238</definedName>
    <definedName name="S2_etp_direction_fav">Hypotheses!$C$239</definedName>
    <definedName name="S2_etp_direction">Hypotheses!$D$239</definedName>
    <definedName name="S2_etp_direction_def">Hypotheses!$E$239</definedName>
    <definedName name="S2_etp_entretien_fav">Hypotheses!$C$240</definedName>
    <definedName name="S2_etp_entretien">Hypotheses!$D$240</definedName>
    <definedName name="S2_etp_entretien_def">Hypotheses!$E$240</definedName>
    <definedName name="S2_etp_gouvernance_fav">Hypotheses!$C$241</definedName>
    <definedName name="S2_etp_gouvernance">Hypotheses!$D$241</definedName>
    <definedName name="S2_etp_gouvernance_def">Hypotheses!$E$241</definedName>
    <definedName name="S2_etp_jardin_fav">Hypotheses!$C$242</definedName>
    <definedName name="S2_etp_jardin">Hypotheses!$D$242</definedName>
    <definedName name="S2_etp_jardin_def">Hypotheses!$E$242</definedName>
    <definedName name="S2_etp_maison_fav">Hypotheses!$C$243</definedName>
    <definedName name="S2_etp_maison">Hypotheses!$D$243</definedName>
    <definedName name="S2_etp_maison_def">Hypotheses!$E$243</definedName>
    <definedName name="S2_etp_resp_ecurie_fav">Hypotheses!$C$244</definedName>
    <definedName name="S2_etp_resp_ecurie">Hypotheses!$D$244</definedName>
    <definedName name="S2_etp_resp_ecurie_def">Hypotheses!$E$244</definedName>
    <definedName name="S2_etp_soigneur_fav">Hypotheses!$C$245</definedName>
    <definedName name="S2_etp_soigneur">Hypotheses!$D$245</definedName>
    <definedName name="S2_etp_soigneur_def">Hypotheses!$E$245</definedName>
    <definedName name="S3_etp_admin_fav">Hypotheses!$C$246</definedName>
    <definedName name="S3_etp_admin">Hypotheses!$D$246</definedName>
    <definedName name="S3_etp_admin_def">Hypotheses!$E$246</definedName>
    <definedName name="S3_etp_agricole_fav">Hypotheses!$C$247</definedName>
    <definedName name="S3_etp_agricole">Hypotheses!$D$247</definedName>
    <definedName name="S3_etp_agricole_def">Hypotheses!$E$247</definedName>
    <definedName name="S3_etp_chef_jardinier_fav">Hypotheses!$C$248</definedName>
    <definedName name="S3_etp_chef_jardinier">Hypotheses!$D$248</definedName>
    <definedName name="S3_etp_chef_jardinier_def">Hypotheses!$E$248</definedName>
    <definedName name="S3_etp_direction_fav">Hypotheses!$C$249</definedName>
    <definedName name="S3_etp_direction">Hypotheses!$D$249</definedName>
    <definedName name="S3_etp_direction_def">Hypotheses!$E$249</definedName>
    <definedName name="S3_etp_entretien_fav">Hypotheses!$C$250</definedName>
    <definedName name="S3_etp_entretien">Hypotheses!$D$250</definedName>
    <definedName name="S3_etp_entretien_def">Hypotheses!$E$250</definedName>
    <definedName name="S3_etp_gouvernance_fav">Hypotheses!$C$251</definedName>
    <definedName name="S3_etp_gouvernance">Hypotheses!$D$251</definedName>
    <definedName name="S3_etp_gouvernance_def">Hypotheses!$E$251</definedName>
    <definedName name="S3_etp_jardin_fav">Hypotheses!$C$252</definedName>
    <definedName name="S3_etp_jardin">Hypotheses!$D$252</definedName>
    <definedName name="S3_etp_jardin_def">Hypotheses!$E$252</definedName>
    <definedName name="S3_etp_maison_fav">Hypotheses!$C$253</definedName>
    <definedName name="S3_etp_maison">Hypotheses!$D$253</definedName>
    <definedName name="S3_etp_maison_def">Hypotheses!$E$253</definedName>
    <definedName name="S3_etp_resp_ecurie_fav">Hypotheses!$C$254</definedName>
    <definedName name="S3_etp_resp_ecurie">Hypotheses!$D$254</definedName>
    <definedName name="S3_etp_resp_ecurie_def">Hypotheses!$E$254</definedName>
    <definedName name="S3_etp_soigneur_fav">Hypotheses!$C$255</definedName>
    <definedName name="S3_etp_soigneur">Hypotheses!$D$255</definedName>
    <definedName name="S3_etp_soigneur_def">Hypotheses!$E$255</definedName>
    <definedName name="campagne_periode_fav">Hypotheses!$C$257</definedName>
    <definedName name="campagne_periode">Hypotheses!$D$257</definedName>
    <definedName name="campagne_periode_def">Hypotheses!$E$257</definedName>
    <definedName name="dot_rendement_fav">Hypotheses!$C$258</definedName>
    <definedName name="dot_rendement">Hypotheses!$D$258</definedName>
    <definedName name="dot_rendement_def">Hypotheses!$E$258</definedName>
    <definedName name="g_energie_fav">Hypotheses!$C$259</definedName>
    <definedName name="g_energie">Hypotheses!$D$259</definedName>
    <definedName name="g_energie_def">Hypotheses!$E$259</definedName>
    <definedName name="g_recettes_fav">Hypotheses!$C$260</definedName>
    <definedName name="g_recettes">Hypotheses!$D$260</definedName>
    <definedName name="g_recettes_def">Hypotheses!$E$260</definedName>
    <definedName name="g_salaires_fav">Hypotheses!$C$261</definedName>
    <definedName name="g_salaires">Hypotheses!$D$261</definedName>
    <definedName name="g_salaires_def">Hypotheses!$E$261</definedName>
    <definedName name="g_travaux_fav">Hypotheses!$C$262</definedName>
    <definedName name="g_travaux">Hypotheses!$D$262</definedName>
    <definedName name="g_travaux_def">Hypotheses!$E$262</definedName>
    <definedName name="inflation_fav">Hypotheses!$C$263</definedName>
    <definedName name="inflation">Hypotheses!$D$263</definedName>
    <definedName name="inflation_def">Hypotheses!$E$263</definedName>
    <definedName name="mh_part_deductible_fav">Hypotheses!$C$264</definedName>
    <definedName name="mh_part_deductible">Hypotheses!$D$264</definedName>
    <definedName name="mh_part_deductible_def">Hypotheses!$E$264</definedName>
    <definedName name="mh_taux_deduction_fav">Hypotheses!$C$265</definedName>
    <definedName name="mh_taux_deduction">Hypotheses!$D$265</definedName>
    <definedName name="mh_taux_deduction_def">Hypotheses!$E$265</definedName>
    <definedName name="mh_tmi_fav">Hypotheses!$C$266</definedName>
    <definedName name="mh_tmi">Hypotheses!$D$266</definedName>
    <definedName name="mh_tmi_def">Hypotheses!$E$266</definedName>
    <definedName name="part_surplus_dotation_fav">Hypotheses!$C$267</definedName>
    <definedName name="part_surplus_dotation">Hypotheses!$D$267</definedName>
    <definedName name="part_surplus_dotation_def">Hypotheses!$E$267</definedName>
    <definedName name="rampe_an1_fav">Hypotheses!$C$268</definedName>
    <definedName name="rampe_an1">Hypotheses!$D$268</definedName>
    <definedName name="rampe_an1_def">Hypotheses!$E$268</definedName>
    <definedName name="rampe_an2_fav">Hypotheses!$C$269</definedName>
    <definedName name="rampe_an2">Hypotheses!$D$269</definedName>
    <definedName name="rampe_an2_def">Hypotheses!$E$269</definedName>
    <definedName name="subvention_taux_fav">Hypotheses!$C$270</definedName>
    <definedName name="subvention_taux">Hypotheses!$D$270</definedName>
    <definedName name="subvention_taux_def">Hypotheses!$E$270</definedName>
    <definedName name="taux_reserve_fav">Hypotheses!$C$271</definedName>
    <definedName name="taux_reserve">Hypotheses!$D$271</definedName>
    <definedName name="taux_reserve_def">Hypotheses!$E$271</definedName>
    <definedName name="S1_sol_div_fav">Hypotheses!$C$273</definedName>
    <definedName name="S1_sol_div">Hypotheses!$D$273</definedName>
    <definedName name="S1_sol_div_def">Hypotheses!$E$273</definedName>
    <definedName name="S1_sol_div_annees_fav">Hypotheses!$C$274</definedName>
    <definedName name="S1_sol_div_annees">Hypotheses!$D$274</definedName>
    <definedName name="S1_sol_div_annees_def">Hypotheses!$E$274</definedName>
    <definedName name="S1_sol_dotation0_fav">Hypotheses!$C$275</definedName>
    <definedName name="S1_sol_dotation0">Hypotheses!$D$275</definedName>
    <definedName name="S1_sol_dotation0_def">Hypotheses!$E$275</definedName>
    <definedName name="S1_sol_reserve0_fav">Hypotheses!$C$276</definedName>
    <definedName name="S1_sol_reserve0">Hypotheses!$D$276</definedName>
    <definedName name="S1_sol_reserve0_def">Hypotheses!$E$276</definedName>
    <definedName name="S2_sol_div_fav">Hypotheses!$C$277</definedName>
    <definedName name="S2_sol_div">Hypotheses!$D$277</definedName>
    <definedName name="S2_sol_div_def">Hypotheses!$E$277</definedName>
    <definedName name="S2_sol_div_annees_fav">Hypotheses!$C$278</definedName>
    <definedName name="S2_sol_div_annees">Hypotheses!$D$278</definedName>
    <definedName name="S2_sol_div_annees_def">Hypotheses!$E$278</definedName>
    <definedName name="S2_sol_dotation0_fav">Hypotheses!$C$279</definedName>
    <definedName name="S2_sol_dotation0">Hypotheses!$D$279</definedName>
    <definedName name="S2_sol_dotation0_def">Hypotheses!$E$279</definedName>
    <definedName name="S2_sol_reserve0_fav">Hypotheses!$C$280</definedName>
    <definedName name="S2_sol_reserve0">Hypotheses!$D$280</definedName>
    <definedName name="S2_sol_reserve0_def">Hypotheses!$E$280</definedName>
    <definedName name="S3_sol_div_fav">Hypotheses!$C$281</definedName>
    <definedName name="S3_sol_div">Hypotheses!$D$281</definedName>
    <definedName name="S3_sol_div_def">Hypotheses!$E$281</definedName>
    <definedName name="S3_sol_div_annees_fav">Hypotheses!$C$282</definedName>
    <definedName name="S3_sol_div_annees">Hypotheses!$D$282</definedName>
    <definedName name="S3_sol_div_annees_def">Hypotheses!$E$282</definedName>
    <definedName name="S3_sol_dotation0_fav">Hypotheses!$C$283</definedName>
    <definedName name="S3_sol_dotation0">Hypotheses!$D$283</definedName>
    <definedName name="S3_sol_dotation0_def">Hypotheses!$E$283</definedName>
    <definedName name="S3_sol_reserve0_fav">Hypotheses!$C$284</definedName>
    <definedName name="S3_sol_reserve0">Hypotheses!$D$284</definedName>
    <definedName name="S3_sol_reserve0_def">Hypotheses!$E$284</definedName>
    <definedName name="dette_active_fav">Hypotheses!$C$285</definedName>
    <definedName name="dette_active">Hypotheses!$D$285</definedName>
    <definedName name="dette_active_def">Hypotheses!$E$285</definedName>
    <definedName name="flex_report_fav">Hypotheses!$C$286</definedName>
    <definedName name="flex_report">Hypotheses!$D$286</definedName>
    <definedName name="flex_report_def">Hypotheses!$E$286</definedName>
    <definedName name="flex_seuil_fav">Hypotheses!$C$287</definedName>
    <definedName name="flex_seuil">Hypotheses!$D$287</definedName>
    <definedName name="flex_seuil_def">Hypotheses!$E$287</definedName>
    <definedName name="flex_taux_fav">Hypotheses!$C$288</definedName>
    <definedName name="flex_taux">Hypotheses!$D$288</definedName>
    <definedName name="flex_taux_def">Hypotheses!$E$288</definedName>
    <definedName name="lissage_depense_fav">Hypotheses!$C$289</definedName>
    <definedName name="lissage_depense">Hypotheses!$D$289</definedName>
    <definedName name="lissage_depense_def">Hypotheses!$E$289</definedName>
    <definedName name="mh_actif_fav">Hypotheses!$C$290</definedName>
    <definedName name="mh_actif">Hypotheses!$D$290</definedName>
    <definedName name="mh_actif_def">Hypotheses!$E$290</definedName>
    <definedName name="pilotage_actif_fav">Hypotheses!$C$291</definedName>
    <definedName name="pilotage_actif">Hypotheses!$D$291</definedName>
    <definedName name="pilotage_actif_def">Hypotheses!$E$291</definedName>
    <definedName name="retrait_urgence_fav">Hypotheses!$C$292</definedName>
    <definedName name="retrait_urgence">Hypotheses!$D$292</definedName>
    <definedName name="retrait_urgence_def">Hypotheses!$E$292</definedName>
    <definedName name="sub_actif_fav">Hypotheses!$C$293</definedName>
    <definedName name="sub_actif">Hypotheses!$D$293</definedName>
    <definedName name="sub_actif_def">Hypotheses!$E$293</definedName>
    <definedName name="S1_ech_bois_fav">Hypotheses!$C$295</definedName>
    <definedName name="S1_ech_bois">Hypotheses!$D$295</definedName>
    <definedName name="S1_ech_bois_def">Hypotheses!$E$295</definedName>
    <definedName name="S1_ech_eq_ret_fav">Hypotheses!$C$296</definedName>
    <definedName name="S1_ech_eq_ret">Hypotheses!$D$296</definedName>
    <definedName name="S1_ech_eq_ret_def">Hypotheses!$E$296</definedName>
    <definedName name="S1_ech_eq_std_fav">Hypotheses!$C$297</definedName>
    <definedName name="S1_ech_eq_std">Hypotheses!$D$297</definedName>
    <definedName name="S1_ech_eq_std_def">Hypotheses!$E$297</definedName>
    <definedName name="S1_ech_log_fav">Hypotheses!$C$298</definedName>
    <definedName name="S1_ech_log">Hypotheses!$D$298</definedName>
    <definedName name="S1_ech_log_def">Hypotheses!$E$298</definedName>
    <definedName name="S1_ech_pv_fav">Hypotheses!$C$299</definedName>
    <definedName name="S1_ech_pv">Hypotheses!$D$299</definedName>
    <definedName name="S1_ech_pv_def">Hypotheses!$E$299</definedName>
    <definedName name="S1_ech_stock_fav">Hypotheses!$C$300</definedName>
    <definedName name="S1_ech_stock">Hypotheses!$D$300</definedName>
    <definedName name="S1_ech_stock_def">Hypotheses!$E$300</definedName>
    <definedName name="S1_ech_tourn_fav">Hypotheses!$C$301</definedName>
    <definedName name="S1_ech_tourn">Hypotheses!$D$301</definedName>
    <definedName name="S1_ech_tourn_def">Hypotheses!$E$301</definedName>
    <definedName name="S2_ech_bois_fav">Hypotheses!$C$302</definedName>
    <definedName name="S2_ech_bois">Hypotheses!$D$302</definedName>
    <definedName name="S2_ech_bois_def">Hypotheses!$E$302</definedName>
    <definedName name="S2_ech_eq_ret_fav">Hypotheses!$C$303</definedName>
    <definedName name="S2_ech_eq_ret">Hypotheses!$D$303</definedName>
    <definedName name="S2_ech_eq_ret_def">Hypotheses!$E$303</definedName>
    <definedName name="S2_ech_eq_std_fav">Hypotheses!$C$304</definedName>
    <definedName name="S2_ech_eq_std">Hypotheses!$D$304</definedName>
    <definedName name="S2_ech_eq_std_def">Hypotheses!$E$304</definedName>
    <definedName name="S2_ech_log_fav">Hypotheses!$C$305</definedName>
    <definedName name="S2_ech_log">Hypotheses!$D$305</definedName>
    <definedName name="S2_ech_log_def">Hypotheses!$E$305</definedName>
    <definedName name="S2_ech_pv_fav">Hypotheses!$C$306</definedName>
    <definedName name="S2_ech_pv">Hypotheses!$D$306</definedName>
    <definedName name="S2_ech_pv_def">Hypotheses!$E$306</definedName>
    <definedName name="S2_ech_stock_fav">Hypotheses!$C$307</definedName>
    <definedName name="S2_ech_stock">Hypotheses!$D$307</definedName>
    <definedName name="S2_ech_stock_def">Hypotheses!$E$307</definedName>
    <definedName name="S2_ech_tourn_fav">Hypotheses!$C$308</definedName>
    <definedName name="S2_ech_tourn">Hypotheses!$D$308</definedName>
    <definedName name="S2_ech_tourn_def">Hypotheses!$E$308</definedName>
    <definedName name="S3_ech_bois_fav">Hypotheses!$C$309</definedName>
    <definedName name="S3_ech_bois">Hypotheses!$D$309</definedName>
    <definedName name="S3_ech_bois_def">Hypotheses!$E$309</definedName>
    <definedName name="S3_ech_eq_ret_fav">Hypotheses!$C$310</definedName>
    <definedName name="S3_ech_eq_ret">Hypotheses!$D$310</definedName>
    <definedName name="S3_ech_eq_ret_def">Hypotheses!$E$310</definedName>
    <definedName name="S3_ech_eq_std_fav">Hypotheses!$C$311</definedName>
    <definedName name="S3_ech_eq_std">Hypotheses!$D$311</definedName>
    <definedName name="S3_ech_eq_std_def">Hypotheses!$E$311</definedName>
    <definedName name="S3_ech_log_fav">Hypotheses!$C$312</definedName>
    <definedName name="S3_ech_log">Hypotheses!$D$312</definedName>
    <definedName name="S3_ech_log_def">Hypotheses!$E$312</definedName>
    <definedName name="S3_ech_pv_fav">Hypotheses!$C$313</definedName>
    <definedName name="S3_ech_pv">Hypotheses!$D$313</definedName>
    <definedName name="S3_ech_pv_def">Hypotheses!$E$313</definedName>
    <definedName name="S3_ech_stock_fav">Hypotheses!$C$314</definedName>
    <definedName name="S3_ech_stock">Hypotheses!$D$314</definedName>
    <definedName name="S3_ech_stock_def">Hypotheses!$E$314</definedName>
    <definedName name="S3_ech_tourn_fav">Hypotheses!$C$315</definedName>
    <definedName name="S3_ech_tourn">Hypotheses!$D$315</definedName>
    <definedName name="S3_ech_tourn_def">Hypotheses!$E$315</definedName>
    <definedName name="S1_prix_achat_fav">Hypotheses!$C$317</definedName>
    <definedName name="S1_prix_achat">Hypotheses!$D$317</definedName>
    <definedName name="S1_prix_achat_def">Hypotheses!$E$317</definedName>
    <definedName name="S2_prix_achat_fav">Hypotheses!$C$318</definedName>
    <definedName name="S2_prix_achat">Hypotheses!$D$318</definedName>
    <definedName name="S2_prix_achat_def">Hypotheses!$E$318</definedName>
    <definedName name="S3_prix_achat_fav">Hypotheses!$C$319</definedName>
    <definedName name="S3_prix_achat">Hypotheses!$D$319</definedName>
    <definedName name="S3_prix_achat_def">Hypotheses!$E$319</definedName>
    <definedName name="dette_duree_fav">Hypotheses!$C$320</definedName>
    <definedName name="dette_duree">Hypotheses!$D$320</definedName>
    <definedName name="dette_duree_def">Hypotheses!$E$320</definedName>
    <definedName name="dette_quotite_fav">Hypotheses!$C$321</definedName>
    <definedName name="dette_quotite">Hypotheses!$D$321</definedName>
    <definedName name="dette_quotite_def">Hypotheses!$E$321</definedName>
    <definedName name="dette_taux_fav">Hypotheses!$C$322</definedName>
    <definedName name="dette_taux">Hypotheses!$D$322</definedName>
    <definedName name="dette_taux_def">Hypotheses!$E$322</definedName>
    <definedName name="S1_ha_bois_fav">Hypotheses!$C$324</definedName>
    <definedName name="S1_ha_bois">Hypotheses!$D$324</definedName>
    <definedName name="S1_ha_bois_def">Hypotheses!$E$324</definedName>
    <definedName name="S1_ha_jardins_fav">Hypotheses!$C$325</definedName>
    <definedName name="S1_ha_jardins">Hypotheses!$D$325</definedName>
    <definedName name="S1_ha_jardins_def">Hypotheses!$E$325</definedName>
    <definedName name="S1_ha_parc_fav">Hypotheses!$C$326</definedName>
    <definedName name="S1_ha_parc">Hypotheses!$D$326</definedName>
    <definedName name="S1_ha_parc_def">Hypotheses!$E$326</definedName>
    <definedName name="S1_ha_prairies_fav">Hypotheses!$C$327</definedName>
    <definedName name="S1_ha_prairies">Hypotheses!$D$327</definedName>
    <definedName name="S1_ha_prairies_def">Hypotheses!$E$327</definedName>
    <definedName name="S1_ml_clotures_fav">Hypotheses!$C$328</definedName>
    <definedName name="S1_ml_clotures">Hypotheses!$D$328</definedName>
    <definedName name="S1_ml_clotures_def">Hypotheses!$E$328</definedName>
    <definedName name="S1_nb_baies_fav">Hypotheses!$C$329</definedName>
    <definedName name="S1_nb_baies">Hypotheses!$D$329</definedName>
    <definedName name="S1_nb_baies_def">Hypotheses!$E$329</definedName>
    <definedName name="S1_nb_boxes_fav">Hypotheses!$C$330</definedName>
    <definedName name="S1_nb_boxes">Hypotheses!$D$330</definedName>
    <definedName name="S1_nb_boxes_def">Hypotheses!$E$330</definedName>
    <definedName name="S1_nb_chevaux_fav">Hypotheses!$C$331</definedName>
    <definedName name="S1_nb_chevaux">Hypotheses!$D$331</definedName>
    <definedName name="S1_nb_chevaux_def">Hypotheses!$E$331</definedName>
    <definedName name="S1_surf_chateau_fav">Hypotheses!$C$332</definedName>
    <definedName name="S1_surf_chateau">Hypotheses!$D$332</definedName>
    <definedName name="S1_surf_chateau_def">Hypotheses!$E$332</definedName>
    <definedName name="S1_surf_dep_fav">Hypotheses!$C$333</definedName>
    <definedName name="S1_surf_dep">Hypotheses!$D$333</definedName>
    <definedName name="S1_surf_dep_def">Hypotheses!$E$333</definedName>
    <definedName name="S1_surf_facades_fav">Hypotheses!$C$334</definedName>
    <definedName name="S1_surf_facades">Hypotheses!$D$334</definedName>
    <definedName name="S1_surf_facades_def">Hypotheses!$E$334</definedName>
    <definedName name="S1_surf_manege_fav">Hypotheses!$C$335</definedName>
    <definedName name="S1_surf_manege">Hypotheses!$D$335</definedName>
    <definedName name="S1_surf_manege_def">Hypotheses!$E$335</definedName>
    <definedName name="S1_surf_pistes_fav">Hypotheses!$C$336</definedName>
    <definedName name="S1_surf_pistes">Hypotheses!$D$336</definedName>
    <definedName name="S1_surf_pistes_def">Hypotheses!$E$336</definedName>
    <definedName name="S1_surf_toits_fav">Hypotheses!$C$337</definedName>
    <definedName name="S1_surf_toits">Hypotheses!$D$337</definedName>
    <definedName name="S1_surf_toits_def">Hypotheses!$E$337</definedName>
    <definedName name="S2_ha_bois_fav">Hypotheses!$C$338</definedName>
    <definedName name="S2_ha_bois">Hypotheses!$D$338</definedName>
    <definedName name="S2_ha_bois_def">Hypotheses!$E$338</definedName>
    <definedName name="S2_ha_jardins_fav">Hypotheses!$C$339</definedName>
    <definedName name="S2_ha_jardins">Hypotheses!$D$339</definedName>
    <definedName name="S2_ha_jardins_def">Hypotheses!$E$339</definedName>
    <definedName name="S2_ha_parc_fav">Hypotheses!$C$340</definedName>
    <definedName name="S2_ha_parc">Hypotheses!$D$340</definedName>
    <definedName name="S2_ha_parc_def">Hypotheses!$E$340</definedName>
    <definedName name="S2_ha_prairies_fav">Hypotheses!$C$341</definedName>
    <definedName name="S2_ha_prairies">Hypotheses!$D$341</definedName>
    <definedName name="S2_ha_prairies_def">Hypotheses!$E$341</definedName>
    <definedName name="S2_ml_clotures_fav">Hypotheses!$C$342</definedName>
    <definedName name="S2_ml_clotures">Hypotheses!$D$342</definedName>
    <definedName name="S2_ml_clotures_def">Hypotheses!$E$342</definedName>
    <definedName name="S2_nb_baies_fav">Hypotheses!$C$343</definedName>
    <definedName name="S2_nb_baies">Hypotheses!$D$343</definedName>
    <definedName name="S2_nb_baies_def">Hypotheses!$E$343</definedName>
    <definedName name="S2_nb_boxes_fav">Hypotheses!$C$344</definedName>
    <definedName name="S2_nb_boxes">Hypotheses!$D$344</definedName>
    <definedName name="S2_nb_boxes_def">Hypotheses!$E$344</definedName>
    <definedName name="S2_nb_chevaux_fav">Hypotheses!$C$345</definedName>
    <definedName name="S2_nb_chevaux">Hypotheses!$D$345</definedName>
    <definedName name="S2_nb_chevaux_def">Hypotheses!$E$345</definedName>
    <definedName name="S2_surf_chateau_fav">Hypotheses!$C$346</definedName>
    <definedName name="S2_surf_chateau">Hypotheses!$D$346</definedName>
    <definedName name="S2_surf_chateau_def">Hypotheses!$E$346</definedName>
    <definedName name="S2_surf_dep_fav">Hypotheses!$C$347</definedName>
    <definedName name="S2_surf_dep">Hypotheses!$D$347</definedName>
    <definedName name="S2_surf_dep_def">Hypotheses!$E$347</definedName>
    <definedName name="S2_surf_facades_fav">Hypotheses!$C$348</definedName>
    <definedName name="S2_surf_facades">Hypotheses!$D$348</definedName>
    <definedName name="S2_surf_facades_def">Hypotheses!$E$348</definedName>
    <definedName name="S2_surf_manege_fav">Hypotheses!$C$349</definedName>
    <definedName name="S2_surf_manege">Hypotheses!$D$349</definedName>
    <definedName name="S2_surf_manege_def">Hypotheses!$E$349</definedName>
    <definedName name="S2_surf_pistes_fav">Hypotheses!$C$350</definedName>
    <definedName name="S2_surf_pistes">Hypotheses!$D$350</definedName>
    <definedName name="S2_surf_pistes_def">Hypotheses!$E$350</definedName>
    <definedName name="S2_surf_toits_fav">Hypotheses!$C$351</definedName>
    <definedName name="S2_surf_toits">Hypotheses!$D$351</definedName>
    <definedName name="S2_surf_toits_def">Hypotheses!$E$351</definedName>
    <definedName name="S3_ha_bois_fav">Hypotheses!$C$352</definedName>
    <definedName name="S3_ha_bois">Hypotheses!$D$352</definedName>
    <definedName name="S3_ha_bois_def">Hypotheses!$E$352</definedName>
    <definedName name="S3_ha_jardins_fav">Hypotheses!$C$353</definedName>
    <definedName name="S3_ha_jardins">Hypotheses!$D$353</definedName>
    <definedName name="S3_ha_jardins_def">Hypotheses!$E$353</definedName>
    <definedName name="S3_ha_parc_fav">Hypotheses!$C$354</definedName>
    <definedName name="S3_ha_parc">Hypotheses!$D$354</definedName>
    <definedName name="S3_ha_parc_def">Hypotheses!$E$354</definedName>
    <definedName name="S3_ha_prairies_fav">Hypotheses!$C$355</definedName>
    <definedName name="S3_ha_prairies">Hypotheses!$D$355</definedName>
    <definedName name="S3_ha_prairies_def">Hypotheses!$E$355</definedName>
    <definedName name="S3_ml_clotures_fav">Hypotheses!$C$356</definedName>
    <definedName name="S3_ml_clotures">Hypotheses!$D$356</definedName>
    <definedName name="S3_ml_clotures_def">Hypotheses!$E$356</definedName>
    <definedName name="S3_nb_baies_fav">Hypotheses!$C$357</definedName>
    <definedName name="S3_nb_baies">Hypotheses!$D$357</definedName>
    <definedName name="S3_nb_baies_def">Hypotheses!$E$357</definedName>
    <definedName name="S3_nb_boxes_fav">Hypotheses!$C$358</definedName>
    <definedName name="S3_nb_boxes">Hypotheses!$D$358</definedName>
    <definedName name="S3_nb_boxes_def">Hypotheses!$E$358</definedName>
    <definedName name="S3_nb_chevaux_fav">Hypotheses!$C$359</definedName>
    <definedName name="S3_nb_chevaux">Hypotheses!$D$359</definedName>
    <definedName name="S3_nb_chevaux_def">Hypotheses!$E$359</definedName>
    <definedName name="S3_surf_chateau_fav">Hypotheses!$C$360</definedName>
    <definedName name="S3_surf_chateau">Hypotheses!$D$360</definedName>
    <definedName name="S3_surf_chateau_def">Hypotheses!$E$360</definedName>
    <definedName name="S3_surf_dep_fav">Hypotheses!$C$361</definedName>
    <definedName name="S3_surf_dep">Hypotheses!$D$361</definedName>
    <definedName name="S3_surf_dep_def">Hypotheses!$E$361</definedName>
    <definedName name="S3_surf_facades_fav">Hypotheses!$C$362</definedName>
    <definedName name="S3_surf_facades">Hypotheses!$D$362</definedName>
    <definedName name="S3_surf_facades_def">Hypotheses!$E$362</definedName>
    <definedName name="S3_surf_manege_fav">Hypotheses!$C$363</definedName>
    <definedName name="S3_surf_manege">Hypotheses!$D$363</definedName>
    <definedName name="S3_surf_manege_def">Hypotheses!$E$363</definedName>
    <definedName name="S3_surf_pistes_fav">Hypotheses!$C$364</definedName>
    <definedName name="S3_surf_pistes">Hypotheses!$D$364</definedName>
    <definedName name="S3_surf_pistes_def">Hypotheses!$E$364</definedName>
    <definedName name="S3_surf_toits_fav">Hypotheses!$C$365</definedName>
    <definedName name="S3_surf_toits">Hypotheses!$D$365</definedName>
    <definedName name="S3_surf_toits_def">Hypotheses!$E$365</definedName>
    <definedName name="st_ca30_choc_trav_an_fav">Hypotheses!$C$367</definedName>
    <definedName name="st_ca30_choc_trav_an">Hypotheses!$D$367</definedName>
    <definedName name="st_ca30_choc_trav_an_def">Hypotheses!$E$367</definedName>
    <definedName name="st_ca30_choc_trav_montant_fav">Hypotheses!$C$368</definedName>
    <definedName name="st_ca30_choc_trav_montant">Hypotheses!$D$368</definedName>
    <definedName name="st_ca30_choc_trav_montant_def">Hypotheses!$E$368</definedName>
    <definedName name="st_ca30_crise_an_fav">Hypotheses!$C$369</definedName>
    <definedName name="st_ca30_crise_an">Hypotheses!$D$369</definedName>
    <definedName name="st_ca30_crise_an_def">Hypotheses!$E$369</definedName>
    <definedName name="st_ca30_debut_mult_fav">Hypotheses!$C$370</definedName>
    <definedName name="st_ca30_debut_mult">Hypotheses!$D$370</definedName>
    <definedName name="st_ca30_debut_mult_def">Hypotheses!$E$370</definedName>
    <definedName name="st_ca30_div_fin_fav">Hypotheses!$C$371</definedName>
    <definedName name="st_ca30_div_fin">Hypotheses!$D$371</definedName>
    <definedName name="st_ca30_div_fin_def">Hypotheses!$E$371</definedName>
    <definedName name="st_ca30_dot_rdt_delta_fav">Hypotheses!$C$372</definedName>
    <definedName name="st_ca30_dot_rdt_delta">Hypotheses!$D$372</definedName>
    <definedName name="st_ca30_dot_rdt_delta_def">Hypotheses!$E$372</definedName>
    <definedName name="st_ca30_energie_debut_fav">Hypotheses!$C$373</definedName>
    <definedName name="st_ca30_energie_debut">Hypotheses!$D$373</definedName>
    <definedName name="st_ca30_energie_debut_def">Hypotheses!$E$373</definedName>
    <definedName name="st_ca30_energie_fin_fav">Hypotheses!$C$374</definedName>
    <definedName name="st_ca30_energie_fin">Hypotheses!$D$374</definedName>
    <definedName name="st_ca30_energie_fin_def">Hypotheses!$E$374</definedName>
    <definedName name="st_ca30_energie_mult_fav">Hypotheses!$C$375</definedName>
    <definedName name="st_ca30_energie_mult">Hypotheses!$D$375</definedName>
    <definedName name="st_ca30_energie_mult_def">Hypotheses!$E$375</definedName>
    <definedName name="st_ca30_g_sal_extra_fav">Hypotheses!$C$376</definedName>
    <definedName name="st_ca30_g_sal_extra">Hypotheses!$D$376</definedName>
    <definedName name="st_ca30_g_sal_extra_def">Hypotheses!$E$376</definedName>
    <definedName name="st_ca30_mult_A_fav">Hypotheses!$C$377</definedName>
    <definedName name="st_ca30_mult_A">Hypotheses!$D$377</definedName>
    <definedName name="st_ca30_mult_A_def">Hypotheses!$E$377</definedName>
    <definedName name="st_ca30_mult_B_fav">Hypotheses!$C$378</definedName>
    <definedName name="st_ca30_mult_B">Hypotheses!$D$378</definedName>
    <definedName name="st_ca30_mult_B_def">Hypotheses!$E$378</definedName>
    <definedName name="st_ca30_mult_C_fav">Hypotheses!$C$379</definedName>
    <definedName name="st_ca30_mult_C">Hypotheses!$D$379</definedName>
    <definedName name="st_ca30_mult_C_def">Hypotheses!$E$379</definedName>
    <definedName name="st_ca30_mult_campagne_fav">Hypotheses!$C$380</definedName>
    <definedName name="st_ca30_mult_campagne">Hypotheses!$D$380</definedName>
    <definedName name="st_ca30_mult_campagne_def">Hypotheses!$E$380</definedName>
    <definedName name="st_central_choc_trav_an_fav">Hypotheses!$C$381</definedName>
    <definedName name="st_central_choc_trav_an">Hypotheses!$D$381</definedName>
    <definedName name="st_central_choc_trav_an_def">Hypotheses!$E$381</definedName>
    <definedName name="st_central_choc_trav_montant_fav">Hypotheses!$C$382</definedName>
    <definedName name="st_central_choc_trav_montant">Hypotheses!$D$382</definedName>
    <definedName name="st_central_choc_trav_montant_def">Hypotheses!$E$382</definedName>
    <definedName name="st_central_crise_an_fav">Hypotheses!$C$383</definedName>
    <definedName name="st_central_crise_an">Hypotheses!$D$383</definedName>
    <definedName name="st_central_crise_an_def">Hypotheses!$E$383</definedName>
    <definedName name="st_central_debut_mult_fav">Hypotheses!$C$384</definedName>
    <definedName name="st_central_debut_mult">Hypotheses!$D$384</definedName>
    <definedName name="st_central_debut_mult_def">Hypotheses!$E$384</definedName>
    <definedName name="st_central_div_fin_fav">Hypotheses!$C$385</definedName>
    <definedName name="st_central_div_fin">Hypotheses!$D$385</definedName>
    <definedName name="st_central_div_fin_def">Hypotheses!$E$385</definedName>
    <definedName name="st_central_dot_rdt_delta_fav">Hypotheses!$C$386</definedName>
    <definedName name="st_central_dot_rdt_delta">Hypotheses!$D$386</definedName>
    <definedName name="st_central_dot_rdt_delta_def">Hypotheses!$E$386</definedName>
    <definedName name="st_central_energie_debut_fav">Hypotheses!$C$387</definedName>
    <definedName name="st_central_energie_debut">Hypotheses!$D$387</definedName>
    <definedName name="st_central_energie_debut_def">Hypotheses!$E$387</definedName>
    <definedName name="st_central_energie_fin_fav">Hypotheses!$C$388</definedName>
    <definedName name="st_central_energie_fin">Hypotheses!$D$388</definedName>
    <definedName name="st_central_energie_fin_def">Hypotheses!$E$388</definedName>
    <definedName name="st_central_energie_mult_fav">Hypotheses!$C$389</definedName>
    <definedName name="st_central_energie_mult">Hypotheses!$D$389</definedName>
    <definedName name="st_central_energie_mult_def">Hypotheses!$E$389</definedName>
    <definedName name="st_central_g_sal_extra_fav">Hypotheses!$C$390</definedName>
    <definedName name="st_central_g_sal_extra">Hypotheses!$D$390</definedName>
    <definedName name="st_central_g_sal_extra_def">Hypotheses!$E$390</definedName>
    <definedName name="st_central_mult_A_fav">Hypotheses!$C$391</definedName>
    <definedName name="st_central_mult_A">Hypotheses!$D$391</definedName>
    <definedName name="st_central_mult_A_def">Hypotheses!$E$391</definedName>
    <definedName name="st_central_mult_B_fav">Hypotheses!$C$392</definedName>
    <definedName name="st_central_mult_B">Hypotheses!$D$392</definedName>
    <definedName name="st_central_mult_B_def">Hypotheses!$E$392</definedName>
    <definedName name="st_central_mult_C_fav">Hypotheses!$C$393</definedName>
    <definedName name="st_central_mult_C">Hypotheses!$D$393</definedName>
    <definedName name="st_central_mult_C_def">Hypotheses!$E$393</definedName>
    <definedName name="st_central_mult_campagne_fav">Hypotheses!$C$394</definedName>
    <definedName name="st_central_mult_campagne">Hypotheses!$D$394</definedName>
    <definedName name="st_central_mult_campagne_def">Hypotheses!$E$394</definedName>
    <definedName name="st_crise_choc_trav_an_fav">Hypotheses!$C$395</definedName>
    <definedName name="st_crise_choc_trav_an">Hypotheses!$D$395</definedName>
    <definedName name="st_crise_choc_trav_an_def">Hypotheses!$E$395</definedName>
    <definedName name="st_crise_choc_trav_montant_fav">Hypotheses!$C$396</definedName>
    <definedName name="st_crise_choc_trav_montant">Hypotheses!$D$396</definedName>
    <definedName name="st_crise_choc_trav_montant_def">Hypotheses!$E$396</definedName>
    <definedName name="st_crise_crise_an_fav">Hypotheses!$C$397</definedName>
    <definedName name="st_crise_crise_an">Hypotheses!$D$397</definedName>
    <definedName name="st_crise_crise_an_def">Hypotheses!$E$397</definedName>
    <definedName name="st_crise_debut_mult_fav">Hypotheses!$C$398</definedName>
    <definedName name="st_crise_debut_mult">Hypotheses!$D$398</definedName>
    <definedName name="st_crise_debut_mult_def">Hypotheses!$E$398</definedName>
    <definedName name="st_crise_div_fin_fav">Hypotheses!$C$399</definedName>
    <definedName name="st_crise_div_fin">Hypotheses!$D$399</definedName>
    <definedName name="st_crise_div_fin_def">Hypotheses!$E$399</definedName>
    <definedName name="st_crise_dot_rdt_delta_fav">Hypotheses!$C$400</definedName>
    <definedName name="st_crise_dot_rdt_delta">Hypotheses!$D$400</definedName>
    <definedName name="st_crise_dot_rdt_delta_def">Hypotheses!$E$400</definedName>
    <definedName name="st_crise_energie_debut_fav">Hypotheses!$C$401</definedName>
    <definedName name="st_crise_energie_debut">Hypotheses!$D$401</definedName>
    <definedName name="st_crise_energie_debut_def">Hypotheses!$E$401</definedName>
    <definedName name="st_crise_energie_fin_fav">Hypotheses!$C$402</definedName>
    <definedName name="st_crise_energie_fin">Hypotheses!$D$402</definedName>
    <definedName name="st_crise_energie_fin_def">Hypotheses!$E$402</definedName>
    <definedName name="st_crise_energie_mult_fav">Hypotheses!$C$403</definedName>
    <definedName name="st_crise_energie_mult">Hypotheses!$D$403</definedName>
    <definedName name="st_crise_energie_mult_def">Hypotheses!$E$403</definedName>
    <definedName name="st_crise_g_sal_extra_fav">Hypotheses!$C$404</definedName>
    <definedName name="st_crise_g_sal_extra">Hypotheses!$D$404</definedName>
    <definedName name="st_crise_g_sal_extra_def">Hypotheses!$E$404</definedName>
    <definedName name="st_crise_mult_A_fav">Hypotheses!$C$405</definedName>
    <definedName name="st_crise_mult_A">Hypotheses!$D$405</definedName>
    <definedName name="st_crise_mult_A_def">Hypotheses!$E$405</definedName>
    <definedName name="st_crise_mult_B_fav">Hypotheses!$C$406</definedName>
    <definedName name="st_crise_mult_B">Hypotheses!$D$406</definedName>
    <definedName name="st_crise_mult_B_def">Hypotheses!$E$406</definedName>
    <definedName name="st_crise_mult_C_fav">Hypotheses!$C$407</definedName>
    <definedName name="st_crise_mult_C">Hypotheses!$D$407</definedName>
    <definedName name="st_crise_mult_C_def">Hypotheses!$E$407</definedName>
    <definedName name="st_crise_mult_campagne_fav">Hypotheses!$C$408</definedName>
    <definedName name="st_crise_mult_campagne">Hypotheses!$D$408</definedName>
    <definedName name="st_crise_mult_campagne_def">Hypotheses!$E$408</definedName>
    <definedName name="st_cumul_choc_trav_an_fav">Hypotheses!$C$409</definedName>
    <definedName name="st_cumul_choc_trav_an">Hypotheses!$D$409</definedName>
    <definedName name="st_cumul_choc_trav_an_def">Hypotheses!$E$409</definedName>
    <definedName name="st_cumul_choc_trav_montant_fav">Hypotheses!$C$410</definedName>
    <definedName name="st_cumul_choc_trav_montant">Hypotheses!$D$410</definedName>
    <definedName name="st_cumul_choc_trav_montant_def">Hypotheses!$E$410</definedName>
    <definedName name="st_cumul_crise_an_fav">Hypotheses!$C$411</definedName>
    <definedName name="st_cumul_crise_an">Hypotheses!$D$411</definedName>
    <definedName name="st_cumul_crise_an_def">Hypotheses!$E$411</definedName>
    <definedName name="st_cumul_debut_mult_fav">Hypotheses!$C$412</definedName>
    <definedName name="st_cumul_debut_mult">Hypotheses!$D$412</definedName>
    <definedName name="st_cumul_debut_mult_def">Hypotheses!$E$412</definedName>
    <definedName name="st_cumul_div_fin_fav">Hypotheses!$C$413</definedName>
    <definedName name="st_cumul_div_fin">Hypotheses!$D$413</definedName>
    <definedName name="st_cumul_div_fin_def">Hypotheses!$E$413</definedName>
    <definedName name="st_cumul_dot_rdt_delta_fav">Hypotheses!$C$414</definedName>
    <definedName name="st_cumul_dot_rdt_delta">Hypotheses!$D$414</definedName>
    <definedName name="st_cumul_dot_rdt_delta_def">Hypotheses!$E$414</definedName>
    <definedName name="st_cumul_energie_debut_fav">Hypotheses!$C$415</definedName>
    <definedName name="st_cumul_energie_debut">Hypotheses!$D$415</definedName>
    <definedName name="st_cumul_energie_debut_def">Hypotheses!$E$415</definedName>
    <definedName name="st_cumul_energie_fin_fav">Hypotheses!$C$416</definedName>
    <definedName name="st_cumul_energie_fin">Hypotheses!$D$416</definedName>
    <definedName name="st_cumul_energie_fin_def">Hypotheses!$E$416</definedName>
    <definedName name="st_cumul_energie_mult_fav">Hypotheses!$C$417</definedName>
    <definedName name="st_cumul_energie_mult">Hypotheses!$D$417</definedName>
    <definedName name="st_cumul_energie_mult_def">Hypotheses!$E$417</definedName>
    <definedName name="st_cumul_g_sal_extra_fav">Hypotheses!$C$418</definedName>
    <definedName name="st_cumul_g_sal_extra">Hypotheses!$D$418</definedName>
    <definedName name="st_cumul_g_sal_extra_def">Hypotheses!$E$418</definedName>
    <definedName name="st_cumul_mult_A_fav">Hypotheses!$C$419</definedName>
    <definedName name="st_cumul_mult_A">Hypotheses!$D$419</definedName>
    <definedName name="st_cumul_mult_A_def">Hypotheses!$E$419</definedName>
    <definedName name="st_cumul_mult_B_fav">Hypotheses!$C$420</definedName>
    <definedName name="st_cumul_mult_B">Hypotheses!$D$420</definedName>
    <definedName name="st_cumul_mult_B_def">Hypotheses!$E$420</definedName>
    <definedName name="st_cumul_mult_C_fav">Hypotheses!$C$421</definedName>
    <definedName name="st_cumul_mult_C">Hypotheses!$D$421</definedName>
    <definedName name="st_cumul_mult_C_def">Hypotheses!$E$421</definedName>
    <definedName name="st_cumul_mult_campagne_fav">Hypotheses!$C$422</definedName>
    <definedName name="st_cumul_mult_campagne">Hypotheses!$D$422</definedName>
    <definedName name="st_cumul_mult_campagne_def">Hypotheses!$E$422</definedName>
    <definedName name="st_energie_choc_trav_an_fav">Hypotheses!$C$423</definedName>
    <definedName name="st_energie_choc_trav_an">Hypotheses!$D$423</definedName>
    <definedName name="st_energie_choc_trav_an_def">Hypotheses!$E$423</definedName>
    <definedName name="st_energie_choc_trav_montant_fav">Hypotheses!$C$424</definedName>
    <definedName name="st_energie_choc_trav_montant">Hypotheses!$D$424</definedName>
    <definedName name="st_energie_choc_trav_montant_def">Hypotheses!$E$424</definedName>
    <definedName name="st_energie_crise_an_fav">Hypotheses!$C$425</definedName>
    <definedName name="st_energie_crise_an">Hypotheses!$D$425</definedName>
    <definedName name="st_energie_crise_an_def">Hypotheses!$E$425</definedName>
    <definedName name="st_energie_debut_mult_fav">Hypotheses!$C$426</definedName>
    <definedName name="st_energie_debut_mult">Hypotheses!$D$426</definedName>
    <definedName name="st_energie_debut_mult_def">Hypotheses!$E$426</definedName>
    <definedName name="st_energie_div_fin_fav">Hypotheses!$C$427</definedName>
    <definedName name="st_energie_div_fin">Hypotheses!$D$427</definedName>
    <definedName name="st_energie_div_fin_def">Hypotheses!$E$427</definedName>
    <definedName name="st_energie_dot_rdt_delta_fav">Hypotheses!$C$428</definedName>
    <definedName name="st_energie_dot_rdt_delta">Hypotheses!$D$428</definedName>
    <definedName name="st_energie_dot_rdt_delta_def">Hypotheses!$E$428</definedName>
    <definedName name="st_energie_energie_debut_fav">Hypotheses!$C$429</definedName>
    <definedName name="st_energie_energie_debut">Hypotheses!$D$429</definedName>
    <definedName name="st_energie_energie_debut_def">Hypotheses!$E$429</definedName>
    <definedName name="st_energie_energie_fin_fav">Hypotheses!$C$430</definedName>
    <definedName name="st_energie_energie_fin">Hypotheses!$D$430</definedName>
    <definedName name="st_energie_energie_fin_def">Hypotheses!$E$430</definedName>
    <definedName name="st_energie_energie_mult_fav">Hypotheses!$C$431</definedName>
    <definedName name="st_energie_energie_mult">Hypotheses!$D$431</definedName>
    <definedName name="st_energie_energie_mult_def">Hypotheses!$E$431</definedName>
    <definedName name="st_energie_g_sal_extra_fav">Hypotheses!$C$432</definedName>
    <definedName name="st_energie_g_sal_extra">Hypotheses!$D$432</definedName>
    <definedName name="st_energie_g_sal_extra_def">Hypotheses!$E$432</definedName>
    <definedName name="st_energie_mult_A_fav">Hypotheses!$C$433</definedName>
    <definedName name="st_energie_mult_A">Hypotheses!$D$433</definedName>
    <definedName name="st_energie_mult_A_def">Hypotheses!$E$433</definedName>
    <definedName name="st_energie_mult_B_fav">Hypotheses!$C$434</definedName>
    <definedName name="st_energie_mult_B">Hypotheses!$D$434</definedName>
    <definedName name="st_energie_mult_B_def">Hypotheses!$E$434</definedName>
    <definedName name="st_energie_mult_C_fav">Hypotheses!$C$435</definedName>
    <definedName name="st_energie_mult_C">Hypotheses!$D$435</definedName>
    <definedName name="st_energie_mult_C_def">Hypotheses!$E$435</definedName>
    <definedName name="st_energie_mult_campagne_fav">Hypotheses!$C$436</definedName>
    <definedName name="st_energie_mult_campagne">Hypotheses!$D$436</definedName>
    <definedName name="st_energie_mult_campagne_def">Hypotheses!$E$436</definedName>
    <definedName name="st_moteur_choc_trav_an_fav">Hypotheses!$C$437</definedName>
    <definedName name="st_moteur_choc_trav_an">Hypotheses!$D$437</definedName>
    <definedName name="st_moteur_choc_trav_an_def">Hypotheses!$E$437</definedName>
    <definedName name="st_moteur_choc_trav_montant_fav">Hypotheses!$C$438</definedName>
    <definedName name="st_moteur_choc_trav_montant">Hypotheses!$D$438</definedName>
    <definedName name="st_moteur_choc_trav_montant_def">Hypotheses!$E$438</definedName>
    <definedName name="st_moteur_crise_an_fav">Hypotheses!$C$439</definedName>
    <definedName name="st_moteur_crise_an">Hypotheses!$D$439</definedName>
    <definedName name="st_moteur_crise_an_def">Hypotheses!$E$439</definedName>
    <definedName name="st_moteur_debut_mult_fav">Hypotheses!$C$440</definedName>
    <definedName name="st_moteur_debut_mult">Hypotheses!$D$440</definedName>
    <definedName name="st_moteur_debut_mult_def">Hypotheses!$E$440</definedName>
    <definedName name="st_moteur_div_fin_fav">Hypotheses!$C$441</definedName>
    <definedName name="st_moteur_div_fin">Hypotheses!$D$441</definedName>
    <definedName name="st_moteur_div_fin_def">Hypotheses!$E$441</definedName>
    <definedName name="st_moteur_dot_rdt_delta_fav">Hypotheses!$C$442</definedName>
    <definedName name="st_moteur_dot_rdt_delta">Hypotheses!$D$442</definedName>
    <definedName name="st_moteur_dot_rdt_delta_def">Hypotheses!$E$442</definedName>
    <definedName name="st_moteur_energie_debut_fav">Hypotheses!$C$443</definedName>
    <definedName name="st_moteur_energie_debut">Hypotheses!$D$443</definedName>
    <definedName name="st_moteur_energie_debut_def">Hypotheses!$E$443</definedName>
    <definedName name="st_moteur_energie_fin_fav">Hypotheses!$C$444</definedName>
    <definedName name="st_moteur_energie_fin">Hypotheses!$D$444</definedName>
    <definedName name="st_moteur_energie_fin_def">Hypotheses!$E$444</definedName>
    <definedName name="st_moteur_energie_mult_fav">Hypotheses!$C$445</definedName>
    <definedName name="st_moteur_energie_mult">Hypotheses!$D$445</definedName>
    <definedName name="st_moteur_energie_mult_def">Hypotheses!$E$445</definedName>
    <definedName name="st_moteur_g_sal_extra_fav">Hypotheses!$C$446</definedName>
    <definedName name="st_moteur_g_sal_extra">Hypotheses!$D$446</definedName>
    <definedName name="st_moteur_g_sal_extra_def">Hypotheses!$E$446</definedName>
    <definedName name="st_moteur_mult_A_fav">Hypotheses!$C$447</definedName>
    <definedName name="st_moteur_mult_A">Hypotheses!$D$447</definedName>
    <definedName name="st_moteur_mult_A_def">Hypotheses!$E$447</definedName>
    <definedName name="st_moteur_mult_B_fav">Hypotheses!$C$448</definedName>
    <definedName name="st_moteur_mult_B">Hypotheses!$D$448</definedName>
    <definedName name="st_moteur_mult_B_def">Hypotheses!$E$448</definedName>
    <definedName name="st_moteur_mult_C_fav">Hypotheses!$C$449</definedName>
    <definedName name="st_moteur_mult_C">Hypotheses!$D$449</definedName>
    <definedName name="st_moteur_mult_C_def">Hypotheses!$E$449</definedName>
    <definedName name="st_moteur_mult_campagne_fav">Hypotheses!$C$450</definedName>
    <definedName name="st_moteur_mult_campagne">Hypotheses!$D$450</definedName>
    <definedName name="st_moteur_mult_campagne_def">Hypotheses!$E$450</definedName>
    <definedName name="st_salaires_choc_trav_an_fav">Hypotheses!$C$451</definedName>
    <definedName name="st_salaires_choc_trav_an">Hypotheses!$D$451</definedName>
    <definedName name="st_salaires_choc_trav_an_def">Hypotheses!$E$451</definedName>
    <definedName name="st_salaires_choc_trav_montant_fav">Hypotheses!$C$452</definedName>
    <definedName name="st_salaires_choc_trav_montant">Hypotheses!$D$452</definedName>
    <definedName name="st_salaires_choc_trav_montant_def">Hypotheses!$E$452</definedName>
    <definedName name="st_salaires_crise_an_fav">Hypotheses!$C$453</definedName>
    <definedName name="st_salaires_crise_an">Hypotheses!$D$453</definedName>
    <definedName name="st_salaires_crise_an_def">Hypotheses!$E$453</definedName>
    <definedName name="st_salaires_debut_mult_fav">Hypotheses!$C$454</definedName>
    <definedName name="st_salaires_debut_mult">Hypotheses!$D$454</definedName>
    <definedName name="st_salaires_debut_mult_def">Hypotheses!$E$454</definedName>
    <definedName name="st_salaires_div_fin_fav">Hypotheses!$C$455</definedName>
    <definedName name="st_salaires_div_fin">Hypotheses!$D$455</definedName>
    <definedName name="st_salaires_div_fin_def">Hypotheses!$E$455</definedName>
    <definedName name="st_salaires_dot_rdt_delta_fav">Hypotheses!$C$456</definedName>
    <definedName name="st_salaires_dot_rdt_delta">Hypotheses!$D$456</definedName>
    <definedName name="st_salaires_dot_rdt_delta_def">Hypotheses!$E$456</definedName>
    <definedName name="st_salaires_energie_debut_fav">Hypotheses!$C$457</definedName>
    <definedName name="st_salaires_energie_debut">Hypotheses!$D$457</definedName>
    <definedName name="st_salaires_energie_debut_def">Hypotheses!$E$457</definedName>
    <definedName name="st_salaires_energie_fin_fav">Hypotheses!$C$458</definedName>
    <definedName name="st_salaires_energie_fin">Hypotheses!$D$458</definedName>
    <definedName name="st_salaires_energie_fin_def">Hypotheses!$E$458</definedName>
    <definedName name="st_salaires_energie_mult_fav">Hypotheses!$C$459</definedName>
    <definedName name="st_salaires_energie_mult">Hypotheses!$D$459</definedName>
    <definedName name="st_salaires_energie_mult_def">Hypotheses!$E$459</definedName>
    <definedName name="st_salaires_g_sal_extra_fav">Hypotheses!$C$460</definedName>
    <definedName name="st_salaires_g_sal_extra">Hypotheses!$D$460</definedName>
    <definedName name="st_salaires_g_sal_extra_def">Hypotheses!$E$460</definedName>
    <definedName name="st_salaires_mult_A_fav">Hypotheses!$C$461</definedName>
    <definedName name="st_salaires_mult_A">Hypotheses!$D$461</definedName>
    <definedName name="st_salaires_mult_A_def">Hypotheses!$E$461</definedName>
    <definedName name="st_salaires_mult_B_fav">Hypotheses!$C$462</definedName>
    <definedName name="st_salaires_mult_B">Hypotheses!$D$462</definedName>
    <definedName name="st_salaires_mult_B_def">Hypotheses!$E$462</definedName>
    <definedName name="st_salaires_mult_C_fav">Hypotheses!$C$463</definedName>
    <definedName name="st_salaires_mult_C">Hypotheses!$D$463</definedName>
    <definedName name="st_salaires_mult_C_def">Hypotheses!$E$463</definedName>
    <definedName name="st_salaires_mult_campagne_fav">Hypotheses!$C$464</definedName>
    <definedName name="st_salaires_mult_campagne">Hypotheses!$D$464</definedName>
    <definedName name="st_salaires_mult_campagne_def">Hypotheses!$E$464</definedName>
    <definedName name="st_travaux_choc_trav_an_fav">Hypotheses!$C$465</definedName>
    <definedName name="st_travaux_choc_trav_an">Hypotheses!$D$465</definedName>
    <definedName name="st_travaux_choc_trav_an_def">Hypotheses!$E$465</definedName>
    <definedName name="st_travaux_choc_trav_montant_fav">Hypotheses!$C$466</definedName>
    <definedName name="st_travaux_choc_trav_montant">Hypotheses!$D$466</definedName>
    <definedName name="st_travaux_choc_trav_montant_def">Hypotheses!$E$466</definedName>
    <definedName name="st_travaux_crise_an_fav">Hypotheses!$C$467</definedName>
    <definedName name="st_travaux_crise_an">Hypotheses!$D$467</definedName>
    <definedName name="st_travaux_crise_an_def">Hypotheses!$E$467</definedName>
    <definedName name="st_travaux_debut_mult_fav">Hypotheses!$C$468</definedName>
    <definedName name="st_travaux_debut_mult">Hypotheses!$D$468</definedName>
    <definedName name="st_travaux_debut_mult_def">Hypotheses!$E$468</definedName>
    <definedName name="st_travaux_div_fin_fav">Hypotheses!$C$469</definedName>
    <definedName name="st_travaux_div_fin">Hypotheses!$D$469</definedName>
    <definedName name="st_travaux_div_fin_def">Hypotheses!$E$469</definedName>
    <definedName name="st_travaux_dot_rdt_delta_fav">Hypotheses!$C$470</definedName>
    <definedName name="st_travaux_dot_rdt_delta">Hypotheses!$D$470</definedName>
    <definedName name="st_travaux_dot_rdt_delta_def">Hypotheses!$E$470</definedName>
    <definedName name="st_travaux_energie_debut_fav">Hypotheses!$C$471</definedName>
    <definedName name="st_travaux_energie_debut">Hypotheses!$D$471</definedName>
    <definedName name="st_travaux_energie_debut_def">Hypotheses!$E$471</definedName>
    <definedName name="st_travaux_energie_fin_fav">Hypotheses!$C$472</definedName>
    <definedName name="st_travaux_energie_fin">Hypotheses!$D$472</definedName>
    <definedName name="st_travaux_energie_fin_def">Hypotheses!$E$472</definedName>
    <definedName name="st_travaux_energie_mult_fav">Hypotheses!$C$473</definedName>
    <definedName name="st_travaux_energie_mult">Hypotheses!$D$473</definedName>
    <definedName name="st_travaux_energie_mult_def">Hypotheses!$E$473</definedName>
    <definedName name="st_travaux_g_sal_extra_fav">Hypotheses!$C$474</definedName>
    <definedName name="st_travaux_g_sal_extra">Hypotheses!$D$474</definedName>
    <definedName name="st_travaux_g_sal_extra_def">Hypotheses!$E$474</definedName>
    <definedName name="st_travaux_mult_A_fav">Hypotheses!$C$475</definedName>
    <definedName name="st_travaux_mult_A">Hypotheses!$D$475</definedName>
    <definedName name="st_travaux_mult_A_def">Hypotheses!$E$475</definedName>
    <definedName name="st_travaux_mult_B_fav">Hypotheses!$C$476</definedName>
    <definedName name="st_travaux_mult_B">Hypotheses!$D$476</definedName>
    <definedName name="st_travaux_mult_B_def">Hypotheses!$E$476</definedName>
    <definedName name="st_travaux_mult_C_fav">Hypotheses!$C$477</definedName>
    <definedName name="st_travaux_mult_C">Hypotheses!$D$477</definedName>
    <definedName name="st_travaux_mult_C_def">Hypotheses!$E$477</definedName>
    <definedName name="st_travaux_mult_campagne_fav">Hypotheses!$C$478</definedName>
    <definedName name="st_travaux_mult_campagne">Hypotheses!$D$478</definedName>
    <definedName name="st_travaux_mult_campagne_def">Hypotheses!$E$478</definedName>
    <definedName name="S1_eau_fav">Hypotheses!$C$480</definedName>
    <definedName name="S1_eau">Hypotheses!$D$480</definedName>
    <definedName name="S1_eau_def">Hypotheses!$E$480</definedName>
    <definedName name="S1_elec_kwh_fav">Hypotheses!$C$481</definedName>
    <definedName name="S1_elec_kwh">Hypotheses!$D$481</definedName>
    <definedName name="S1_elec_kwh_def">Hypotheses!$E$481</definedName>
    <definedName name="S1_surf_chauffee_fav">Hypotheses!$C$482</definedName>
    <definedName name="S1_surf_chauffee">Hypotheses!$D$482</definedName>
    <definedName name="S1_surf_chauffee_def">Hypotheses!$E$482</definedName>
    <definedName name="S2_eau_fav">Hypotheses!$C$483</definedName>
    <definedName name="S2_eau">Hypotheses!$D$483</definedName>
    <definedName name="S2_eau_def">Hypotheses!$E$483</definedName>
    <definedName name="S2_elec_kwh_fav">Hypotheses!$C$484</definedName>
    <definedName name="S2_elec_kwh">Hypotheses!$D$484</definedName>
    <definedName name="S2_elec_kwh_def">Hypotheses!$E$484</definedName>
    <definedName name="S2_surf_chauffee_fav">Hypotheses!$C$485</definedName>
    <definedName name="S2_surf_chauffee">Hypotheses!$D$485</definedName>
    <definedName name="S2_surf_chauffee_def">Hypotheses!$E$485</definedName>
    <definedName name="S3_eau_fav">Hypotheses!$C$486</definedName>
    <definedName name="S3_eau">Hypotheses!$D$486</definedName>
    <definedName name="S3_eau_def">Hypotheses!$E$486</definedName>
    <definedName name="S3_elec_kwh_fav">Hypotheses!$C$487</definedName>
    <definedName name="S3_elec_kwh">Hypotheses!$D$487</definedName>
    <definedName name="S3_elec_kwh_def">Hypotheses!$E$487</definedName>
    <definedName name="S3_surf_chauffee_fav">Hypotheses!$C$488</definedName>
    <definedName name="S3_surf_chauffee">Hypotheses!$D$488</definedName>
    <definedName name="S3_surf_chauffee_def">Hypotheses!$E$488</definedName>
    <definedName name="chauffage_kwh_m2_fav">Hypotheses!$C$489</definedName>
    <definedName name="chauffage_kwh_m2">Hypotheses!$D$489</definedName>
    <definedName name="chauffage_kwh_m2_def">Hypotheses!$E$489</definedName>
    <definedName name="horsgel_kwh_m2_fav">Hypotheses!$C$490</definedName>
    <definedName name="horsgel_kwh_m2">Hypotheses!$D$490</definedName>
    <definedName name="horsgel_kwh_m2_def">Hypotheses!$E$490</definedName>
    <definedName name="prix_chaleur_kwh_fav">Hypotheses!$C$491</definedName>
    <definedName name="prix_chaleur_kwh">Hypotheses!$D$491</definedName>
    <definedName name="prix_chaleur_kwh_def">Hypotheses!$E$491</definedName>
    <definedName name="prix_elec_kwh_fav">Hypotheses!$C$492</definedName>
    <definedName name="prix_elec_kwh">Hypotheses!$D$492</definedName>
    <definedName name="prix_elec_kwh_def">Hypotheses!$E$492</definedName>
    <definedName name="bud_valeur_reconstruction_S1_fav">Budget!$E$5</definedName>
    <definedName name="bud_valeur_reconstruction_S1">Budget!$F$5</definedName>
    <definedName name="bud_valeur_reconstruction_S1_def">Budget!$G$5</definedName>
    <definedName name="bud_valeur_reconstruction_S2_fav">Budget!$H$5</definedName>
    <definedName name="bud_valeur_reconstruction_S2">Budget!$I$5</definedName>
    <definedName name="bud_valeur_reconstruction_S2_def">Budget!$J$5</definedName>
    <definedName name="bud_valeur_reconstruction_S3_fav">Budget!$K$5</definedName>
    <definedName name="bud_valeur_reconstruction_S3">Budget!$L$5</definedName>
    <definedName name="bud_valeur_reconstruction_S3_def">Budget!$M$5</definedName>
    <definedName name="bud_bati_courant_S1_fav">Budget!$E$6</definedName>
    <definedName name="bud_bati_courant_S1">Budget!$F$6</definedName>
    <definedName name="bud_bati_courant_S1_def">Budget!$G$6</definedName>
    <definedName name="bud_bati_courant_S2_fav">Budget!$H$6</definedName>
    <definedName name="bud_bati_courant_S2">Budget!$I$6</definedName>
    <definedName name="bud_bati_courant_S2_def">Budget!$J$6</definedName>
    <definedName name="bud_bati_courant_S3_fav">Budget!$K$6</definedName>
    <definedName name="bud_bati_courant_S3">Budget!$L$6</definedName>
    <definedName name="bud_bati_courant_S3_def">Budget!$M$6</definedName>
    <definedName name="bud_bati_ge_S1_fav">Budget!$E$7</definedName>
    <definedName name="bud_bati_ge_S1">Budget!$F$7</definedName>
    <definedName name="bud_bati_ge_S1_def">Budget!$G$7</definedName>
    <definedName name="bud_bati_ge_S2_fav">Budget!$H$7</definedName>
    <definedName name="bud_bati_ge_S2">Budget!$I$7</definedName>
    <definedName name="bud_bati_ge_S2_def">Budget!$J$7</definedName>
    <definedName name="bud_bati_ge_S3_fav">Budget!$K$7</definedName>
    <definedName name="bud_bati_ge_S3">Budget!$L$7</definedName>
    <definedName name="bud_bati_ge_S3_def">Budget!$M$7</definedName>
    <definedName name="bud_imprevus_travaux_S1_fav">Budget!$E$8</definedName>
    <definedName name="bud_imprevus_travaux_S1">Budget!$F$8</definedName>
    <definedName name="bud_imprevus_travaux_S1_def">Budget!$G$8</definedName>
    <definedName name="bud_imprevus_travaux_S2_fav">Budget!$H$8</definedName>
    <definedName name="bud_imprevus_travaux_S2">Budget!$I$8</definedName>
    <definedName name="bud_imprevus_travaux_S2_def">Budget!$J$8</definedName>
    <definedName name="bud_imprevus_travaux_S3_fav">Budget!$K$8</definedName>
    <definedName name="bud_imprevus_travaux_S3">Budget!$L$8</definedName>
    <definedName name="bud_imprevus_travaux_S3_def">Budget!$M$8</definedName>
    <definedName name="bud_securite_S1_fav">Budget!$E$9</definedName>
    <definedName name="bud_securite_S1">Budget!$F$9</definedName>
    <definedName name="bud_securite_S1_def">Budget!$G$9</definedName>
    <definedName name="bud_securite_S2_fav">Budget!$H$9</definedName>
    <definedName name="bud_securite_S2">Budget!$I$9</definedName>
    <definedName name="bud_securite_S2_def">Budget!$J$9</definedName>
    <definedName name="bud_securite_S3_fav">Budget!$K$9</definedName>
    <definedName name="bud_securite_S3">Budget!$L$9</definedName>
    <definedName name="bud_securite_S3_def">Budget!$M$9</definedName>
    <definedName name="bud_pers_direction_S1_fav">Budget!$E$10</definedName>
    <definedName name="bud_pers_direction_S1">Budget!$F$10</definedName>
    <definedName name="bud_pers_direction_S1_def">Budget!$G$10</definedName>
    <definedName name="bud_pers_direction_S2_fav">Budget!$H$10</definedName>
    <definedName name="bud_pers_direction_S2">Budget!$I$10</definedName>
    <definedName name="bud_pers_direction_S2_def">Budget!$J$10</definedName>
    <definedName name="bud_pers_direction_S3_fav">Budget!$K$10</definedName>
    <definedName name="bud_pers_direction_S3">Budget!$L$10</definedName>
    <definedName name="bud_pers_direction_S3_def">Budget!$M$10</definedName>
    <definedName name="bud_pers_admin_S1_fav">Budget!$E$11</definedName>
    <definedName name="bud_pers_admin_S1">Budget!$F$11</definedName>
    <definedName name="bud_pers_admin_S1_def">Budget!$G$11</definedName>
    <definedName name="bud_pers_admin_S2_fav">Budget!$H$11</definedName>
    <definedName name="bud_pers_admin_S2">Budget!$I$11</definedName>
    <definedName name="bud_pers_admin_S2_def">Budget!$J$11</definedName>
    <definedName name="bud_pers_admin_S3_fav">Budget!$K$11</definedName>
    <definedName name="bud_pers_admin_S3">Budget!$L$11</definedName>
    <definedName name="bud_pers_admin_S3_def">Budget!$M$11</definedName>
    <definedName name="bud_pers_chef_jardinier_S1_fav">Budget!$E$12</definedName>
    <definedName name="bud_pers_chef_jardinier_S1">Budget!$F$12</definedName>
    <definedName name="bud_pers_chef_jardinier_S1_def">Budget!$G$12</definedName>
    <definedName name="bud_pers_chef_jardinier_S2_fav">Budget!$H$12</definedName>
    <definedName name="bud_pers_chef_jardinier_S2">Budget!$I$12</definedName>
    <definedName name="bud_pers_chef_jardinier_S2_def">Budget!$J$12</definedName>
    <definedName name="bud_pers_chef_jardinier_S3_fav">Budget!$K$12</definedName>
    <definedName name="bud_pers_chef_jardinier_S3">Budget!$L$12</definedName>
    <definedName name="bud_pers_chef_jardinier_S3_def">Budget!$M$12</definedName>
    <definedName name="bud_pers_jardins_S1_fav">Budget!$E$13</definedName>
    <definedName name="bud_pers_jardins_S1">Budget!$F$13</definedName>
    <definedName name="bud_pers_jardins_S1_def">Budget!$G$13</definedName>
    <definedName name="bud_pers_jardins_S2_fav">Budget!$H$13</definedName>
    <definedName name="bud_pers_jardins_S2">Budget!$I$13</definedName>
    <definedName name="bud_pers_jardins_S2_def">Budget!$J$13</definedName>
    <definedName name="bud_pers_jardins_S3_fav">Budget!$K$13</definedName>
    <definedName name="bud_pers_jardins_S3">Budget!$L$13</definedName>
    <definedName name="bud_pers_jardins_S3_def">Budget!$M$13</definedName>
    <definedName name="bud_pers_entretien_S1_fav">Budget!$E$14</definedName>
    <definedName name="bud_pers_entretien_S1">Budget!$F$14</definedName>
    <definedName name="bud_pers_entretien_S1_def">Budget!$G$14</definedName>
    <definedName name="bud_pers_entretien_S2_fav">Budget!$H$14</definedName>
    <definedName name="bud_pers_entretien_S2">Budget!$I$14</definedName>
    <definedName name="bud_pers_entretien_S2_def">Budget!$J$14</definedName>
    <definedName name="bud_pers_entretien_S3_fav">Budget!$K$14</definedName>
    <definedName name="bud_pers_entretien_S3">Budget!$L$14</definedName>
    <definedName name="bud_pers_entretien_S3_def">Budget!$M$14</definedName>
    <definedName name="bud_pers_agricole_S1_fav">Budget!$E$15</definedName>
    <definedName name="bud_pers_agricole_S1">Budget!$F$15</definedName>
    <definedName name="bud_pers_agricole_S1_def">Budget!$G$15</definedName>
    <definedName name="bud_pers_agricole_S2_fav">Budget!$H$15</definedName>
    <definedName name="bud_pers_agricole_S2">Budget!$I$15</definedName>
    <definedName name="bud_pers_agricole_S2_def">Budget!$J$15</definedName>
    <definedName name="bud_pers_agricole_S3_fav">Budget!$K$15</definedName>
    <definedName name="bud_pers_agricole_S3">Budget!$L$15</definedName>
    <definedName name="bud_pers_agricole_S3_def">Budget!$M$15</definedName>
    <definedName name="bud_pers_equestre_S1_fav">Budget!$E$16</definedName>
    <definedName name="bud_pers_equestre_S1">Budget!$F$16</definedName>
    <definedName name="bud_pers_equestre_S1_def">Budget!$G$16</definedName>
    <definedName name="bud_pers_equestre_S2_fav">Budget!$H$16</definedName>
    <definedName name="bud_pers_equestre_S2">Budget!$I$16</definedName>
    <definedName name="bud_pers_equestre_S2_def">Budget!$J$16</definedName>
    <definedName name="bud_pers_equestre_S3_fav">Budget!$K$16</definedName>
    <definedName name="bud_pers_equestre_S3">Budget!$L$16</definedName>
    <definedName name="bud_pers_equestre_S3_def">Budget!$M$16</definedName>
    <definedName name="bud_pers_resp_ecurie_S1_fav">Budget!$E$17</definedName>
    <definedName name="bud_pers_resp_ecurie_S1">Budget!$F$17</definedName>
    <definedName name="bud_pers_resp_ecurie_S1_def">Budget!$G$17</definedName>
    <definedName name="bud_pers_resp_ecurie_S2_fav">Budget!$H$17</definedName>
    <definedName name="bud_pers_resp_ecurie_S2">Budget!$I$17</definedName>
    <definedName name="bud_pers_resp_ecurie_S2_def">Budget!$J$17</definedName>
    <definedName name="bud_pers_resp_ecurie_S3_fav">Budget!$K$17</definedName>
    <definedName name="bud_pers_resp_ecurie_S3">Budget!$L$17</definedName>
    <definedName name="bud_pers_resp_ecurie_S3_def">Budget!$M$17</definedName>
    <definedName name="bud_pers_gouvernance_S1_fav">Budget!$E$18</definedName>
    <definedName name="bud_pers_gouvernance_S1">Budget!$F$18</definedName>
    <definedName name="bud_pers_gouvernance_S1_def">Budget!$G$18</definedName>
    <definedName name="bud_pers_gouvernance_S2_fav">Budget!$H$18</definedName>
    <definedName name="bud_pers_gouvernance_S2">Budget!$I$18</definedName>
    <definedName name="bud_pers_gouvernance_S2_def">Budget!$J$18</definedName>
    <definedName name="bud_pers_gouvernance_S3_fav">Budget!$K$18</definedName>
    <definedName name="bud_pers_gouvernance_S3">Budget!$L$18</definedName>
    <definedName name="bud_pers_gouvernance_S3_def">Budget!$M$18</definedName>
    <definedName name="bud_pers_maison_S1_fav">Budget!$E$19</definedName>
    <definedName name="bud_pers_maison_S1">Budget!$F$19</definedName>
    <definedName name="bud_pers_maison_S1_def">Budget!$G$19</definedName>
    <definedName name="bud_pers_maison_S2_fav">Budget!$H$19</definedName>
    <definedName name="bud_pers_maison_S2">Budget!$I$19</definedName>
    <definedName name="bud_pers_maison_S2_def">Budget!$J$19</definedName>
    <definedName name="bud_pers_maison_S3_fav">Budget!$K$19</definedName>
    <definedName name="bud_pers_maison_S3">Budget!$L$19</definedName>
    <definedName name="bud_pers_maison_S3_def">Budget!$M$19</definedName>
    <definedName name="bud_jardins_reguliers_S1_fav">Budget!$E$20</definedName>
    <definedName name="bud_jardins_reguliers_S1">Budget!$F$20</definedName>
    <definedName name="bud_jardins_reguliers_S1_def">Budget!$G$20</definedName>
    <definedName name="bud_jardins_reguliers_S2_fav">Budget!$H$20</definedName>
    <definedName name="bud_jardins_reguliers_S2">Budget!$I$20</definedName>
    <definedName name="bud_jardins_reguliers_S2_def">Budget!$J$20</definedName>
    <definedName name="bud_jardins_reguliers_S3_fav">Budget!$K$20</definedName>
    <definedName name="bud_jardins_reguliers_S3">Budget!$L$20</definedName>
    <definedName name="bud_jardins_reguliers_S3_def">Budget!$M$20</definedName>
    <definedName name="bud_parc_S1_fav">Budget!$E$21</definedName>
    <definedName name="bud_parc_S1">Budget!$F$21</definedName>
    <definedName name="bud_parc_S1_def">Budget!$G$21</definedName>
    <definedName name="bud_parc_S2_fav">Budget!$H$21</definedName>
    <definedName name="bud_parc_S2">Budget!$I$21</definedName>
    <definedName name="bud_parc_S2_def">Budget!$J$21</definedName>
    <definedName name="bud_parc_S3_fav">Budget!$K$21</definedName>
    <definedName name="bud_parc_S3">Budget!$L$21</definedName>
    <definedName name="bud_parc_S3_def">Budget!$M$21</definedName>
    <definedName name="bud_prairies_S1_fav">Budget!$E$22</definedName>
    <definedName name="bud_prairies_S1">Budget!$F$22</definedName>
    <definedName name="bud_prairies_S1_def">Budget!$G$22</definedName>
    <definedName name="bud_prairies_S2_fav">Budget!$H$22</definedName>
    <definedName name="bud_prairies_S2">Budget!$I$22</definedName>
    <definedName name="bud_prairies_S2_def">Budget!$J$22</definedName>
    <definedName name="bud_prairies_S3_fav">Budget!$K$22</definedName>
    <definedName name="bud_prairies_S3">Budget!$L$22</definedName>
    <definedName name="bud_prairies_S3_def">Budget!$M$22</definedName>
    <definedName name="bud_clotures_S1_fav">Budget!$E$23</definedName>
    <definedName name="bud_clotures_S1">Budget!$F$23</definedName>
    <definedName name="bud_clotures_S1_def">Budget!$G$23</definedName>
    <definedName name="bud_clotures_S2_fav">Budget!$H$23</definedName>
    <definedName name="bud_clotures_S2">Budget!$I$23</definedName>
    <definedName name="bud_clotures_S2_def">Budget!$J$23</definedName>
    <definedName name="bud_clotures_S3_fav">Budget!$K$23</definedName>
    <definedName name="bud_clotures_S3">Budget!$L$23</definedName>
    <definedName name="bud_clotures_S3_def">Budget!$M$23</definedName>
    <definedName name="bud_bois_S1_fav">Budget!$E$24</definedName>
    <definedName name="bud_bois_S1">Budget!$F$24</definedName>
    <definedName name="bud_bois_S1_def">Budget!$G$24</definedName>
    <definedName name="bud_bois_S2_fav">Budget!$H$24</definedName>
    <definedName name="bud_bois_S2">Budget!$I$24</definedName>
    <definedName name="bud_bois_S2_def">Budget!$J$24</definedName>
    <definedName name="bud_bois_S3_fav">Budget!$K$24</definedName>
    <definedName name="bud_bois_S3">Budget!$L$24</definedName>
    <definedName name="bud_bois_S3_def">Budget!$M$24</definedName>
    <definedName name="bud_equip_renouv_S1_fav">Budget!$E$25</definedName>
    <definedName name="bud_equip_renouv_S1">Budget!$F$25</definedName>
    <definedName name="bud_equip_renouv_S1_def">Budget!$G$25</definedName>
    <definedName name="bud_equip_renouv_S2_fav">Budget!$H$25</definedName>
    <definedName name="bud_equip_renouv_S2">Budget!$I$25</definedName>
    <definedName name="bud_equip_renouv_S2_def">Budget!$J$25</definedName>
    <definedName name="bud_equip_renouv_S3_fav">Budget!$K$25</definedName>
    <definedName name="bud_equip_renouv_S3">Budget!$L$25</definedName>
    <definedName name="bud_equip_renouv_S3_def">Budget!$M$25</definedName>
    <definedName name="bud_equip_entretien_S1_fav">Budget!$E$26</definedName>
    <definedName name="bud_equip_entretien_S1">Budget!$F$26</definedName>
    <definedName name="bud_equip_entretien_S1_def">Budget!$G$26</definedName>
    <definedName name="bud_equip_entretien_S2_fav">Budget!$H$26</definedName>
    <definedName name="bud_equip_entretien_S2">Budget!$I$26</definedName>
    <definedName name="bud_equip_entretien_S2_def">Budget!$J$26</definedName>
    <definedName name="bud_equip_entretien_S3_fav">Budget!$K$26</definedName>
    <definedName name="bud_equip_entretien_S3">Budget!$L$26</definedName>
    <definedName name="bud_equip_entretien_S3_def">Budget!$M$26</definedName>
    <definedName name="bud_chevaux_S1_fav">Budget!$E$27</definedName>
    <definedName name="bud_chevaux_S1">Budget!$F$27</definedName>
    <definedName name="bud_chevaux_S1_def">Budget!$G$27</definedName>
    <definedName name="bud_chevaux_S2_fav">Budget!$H$27</definedName>
    <definedName name="bud_chevaux_S2">Budget!$I$27</definedName>
    <definedName name="bud_chevaux_S2_def">Budget!$J$27</definedName>
    <definedName name="bud_chevaux_S3_fav">Budget!$K$27</definedName>
    <definedName name="bud_chevaux_S3">Budget!$L$27</definedName>
    <definedName name="bud_chevaux_S3_def">Budget!$M$27</definedName>
    <definedName name="bud_installations_eq_S1_fav">Budget!$E$28</definedName>
    <definedName name="bud_installations_eq_S1">Budget!$F$28</definedName>
    <definedName name="bud_installations_eq_S1_def">Budget!$G$28</definedName>
    <definedName name="bud_installations_eq_S2_fav">Budget!$H$28</definedName>
    <definedName name="bud_installations_eq_S2">Budget!$I$28</definedName>
    <definedName name="bud_installations_eq_S2_def">Budget!$J$28</definedName>
    <definedName name="bud_installations_eq_S3_fav">Budget!$K$28</definedName>
    <definedName name="bud_installations_eq_S3">Budget!$L$28</definedName>
    <definedName name="bud_installations_eq_S3_def">Budget!$M$28</definedName>
    <definedName name="bud_chauffage_S1_fav">Budget!$E$29</definedName>
    <definedName name="bud_chauffage_S1">Budget!$F$29</definedName>
    <definedName name="bud_chauffage_S1_def">Budget!$G$29</definedName>
    <definedName name="bud_chauffage_S2_fav">Budget!$H$29</definedName>
    <definedName name="bud_chauffage_S2">Budget!$I$29</definedName>
    <definedName name="bud_chauffage_S2_def">Budget!$J$29</definedName>
    <definedName name="bud_chauffage_S3_fav">Budget!$K$29</definedName>
    <definedName name="bud_chauffage_S3">Budget!$L$29</definedName>
    <definedName name="bud_chauffage_S3_def">Budget!$M$29</definedName>
    <definedName name="bud_hors_gel_S1_fav">Budget!$E$30</definedName>
    <definedName name="bud_hors_gel_S1">Budget!$F$30</definedName>
    <definedName name="bud_hors_gel_S1_def">Budget!$G$30</definedName>
    <definedName name="bud_hors_gel_S2_fav">Budget!$H$30</definedName>
    <definedName name="bud_hors_gel_S2">Budget!$I$30</definedName>
    <definedName name="bud_hors_gel_S2_def">Budget!$J$30</definedName>
    <definedName name="bud_hors_gel_S3_fav">Budget!$K$30</definedName>
    <definedName name="bud_hors_gel_S3">Budget!$L$30</definedName>
    <definedName name="bud_hors_gel_S3_def">Budget!$M$30</definedName>
    <definedName name="bud_electricite_S1_fav">Budget!$E$31</definedName>
    <definedName name="bud_electricite_S1">Budget!$F$31</definedName>
    <definedName name="bud_electricite_S1_def">Budget!$G$31</definedName>
    <definedName name="bud_electricite_S2_fav">Budget!$H$31</definedName>
    <definedName name="bud_electricite_S2">Budget!$I$31</definedName>
    <definedName name="bud_electricite_S2_def">Budget!$J$31</definedName>
    <definedName name="bud_electricite_S3_fav">Budget!$K$31</definedName>
    <definedName name="bud_electricite_S3">Budget!$L$31</definedName>
    <definedName name="bud_electricite_S3_def">Budget!$M$31</definedName>
    <definedName name="bud_eau_S1_fav">Budget!$E$32</definedName>
    <definedName name="bud_eau_S1">Budget!$F$32</definedName>
    <definedName name="bud_eau_S1_def">Budget!$G$32</definedName>
    <definedName name="bud_eau_S2_fav">Budget!$H$32</definedName>
    <definedName name="bud_eau_S2">Budget!$I$32</definedName>
    <definedName name="bud_eau_S2_def">Budget!$J$32</definedName>
    <definedName name="bud_eau_S3_fav">Budget!$K$32</definedName>
    <definedName name="bud_eau_S3">Budget!$L$32</definedName>
    <definedName name="bud_eau_S3_def">Budget!$M$32</definedName>
    <definedName name="bud_assurance_bati_S1_fav">Budget!$E$33</definedName>
    <definedName name="bud_assurance_bati_S1">Budget!$F$33</definedName>
    <definedName name="bud_assurance_bati_S1_def">Budget!$G$33</definedName>
    <definedName name="bud_assurance_bati_S2_fav">Budget!$H$33</definedName>
    <definedName name="bud_assurance_bati_S2">Budget!$I$33</definedName>
    <definedName name="bud_assurance_bati_S2_def">Budget!$J$33</definedName>
    <definedName name="bud_assurance_bati_S3_fav">Budget!$K$33</definedName>
    <definedName name="bud_assurance_bati_S3">Budget!$L$33</definedName>
    <definedName name="bud_assurance_bati_S3_def">Budget!$M$33</definedName>
    <definedName name="bud_assurance_autres_S1_fav">Budget!$E$34</definedName>
    <definedName name="bud_assurance_autres_S1">Budget!$F$34</definedName>
    <definedName name="bud_assurance_autres_S1_def">Budget!$G$34</definedName>
    <definedName name="bud_assurance_autres_S2_fav">Budget!$H$34</definedName>
    <definedName name="bud_assurance_autres_S2">Budget!$I$34</definedName>
    <definedName name="bud_assurance_autres_S2_def">Budget!$J$34</definedName>
    <definedName name="bud_assurance_autres_S3_fav">Budget!$K$34</definedName>
    <definedName name="bud_assurance_autres_S3">Budget!$L$34</definedName>
    <definedName name="bud_assurance_autres_S3_def">Budget!$M$34</definedName>
    <definedName name="bud_taxe_fonciere_bati_S1_fav">Budget!$E$35</definedName>
    <definedName name="bud_taxe_fonciere_bati_S1">Budget!$F$35</definedName>
    <definedName name="bud_taxe_fonciere_bati_S1_def">Budget!$G$35</definedName>
    <definedName name="bud_taxe_fonciere_bati_S2_fav">Budget!$H$35</definedName>
    <definedName name="bud_taxe_fonciere_bati_S2">Budget!$I$35</definedName>
    <definedName name="bud_taxe_fonciere_bati_S2_def">Budget!$J$35</definedName>
    <definedName name="bud_taxe_fonciere_bati_S3_fav">Budget!$K$35</definedName>
    <definedName name="bud_taxe_fonciere_bati_S3">Budget!$L$35</definedName>
    <definedName name="bud_taxe_fonciere_bati_S3_def">Budget!$M$35</definedName>
    <definedName name="bud_taxe_fonciere_non_bati_S1_fav">Budget!$E$36</definedName>
    <definedName name="bud_taxe_fonciere_non_bati_S1">Budget!$F$36</definedName>
    <definedName name="bud_taxe_fonciere_non_bati_S1_def">Budget!$G$36</definedName>
    <definedName name="bud_taxe_fonciere_non_bati_S2_fav">Budget!$H$36</definedName>
    <definedName name="bud_taxe_fonciere_non_bati_S2">Budget!$I$36</definedName>
    <definedName name="bud_taxe_fonciere_non_bati_S2_def">Budget!$J$36</definedName>
    <definedName name="bud_taxe_fonciere_non_bati_S3_fav">Budget!$K$36</definedName>
    <definedName name="bud_taxe_fonciere_non_bati_S3">Budget!$L$36</definedName>
    <definedName name="bud_taxe_fonciere_non_bati_S3_def">Budget!$M$36</definedName>
    <definedName name="bud_ifi_S1_fav">Budget!$E$37</definedName>
    <definedName name="bud_ifi_S1">Budget!$F$37</definedName>
    <definedName name="bud_ifi_S1_def">Budget!$G$37</definedName>
    <definedName name="bud_ifi_S2_fav">Budget!$H$37</definedName>
    <definedName name="bud_ifi_S2">Budget!$I$37</definedName>
    <definedName name="bud_ifi_S2_def">Budget!$J$37</definedName>
    <definedName name="bud_ifi_S3_fav">Budget!$K$37</definedName>
    <definedName name="bud_ifi_S3">Budget!$L$37</definedName>
    <definedName name="bud_ifi_S3_def">Budget!$M$37</definedName>
    <definedName name="bud_admin_S1_fav">Budget!$E$38</definedName>
    <definedName name="bud_admin_S1">Budget!$F$38</definedName>
    <definedName name="bud_admin_S1_def">Budget!$G$38</definedName>
    <definedName name="bud_admin_S2_fav">Budget!$H$38</definedName>
    <definedName name="bud_admin_S2">Budget!$I$38</definedName>
    <definedName name="bud_admin_S2_def">Budget!$J$38</definedName>
    <definedName name="bud_admin_S3_fav">Budget!$K$38</definedName>
    <definedName name="bud_admin_S3">Budget!$L$38</definedName>
    <definedName name="bud_admin_S3_def">Budget!$M$38</definedName>
    <definedName name="bud_honoraires_patrimoine_S1_fav">Budget!$E$39</definedName>
    <definedName name="bud_honoraires_patrimoine_S1">Budget!$F$39</definedName>
    <definedName name="bud_honoraires_patrimoine_S1_def">Budget!$G$39</definedName>
    <definedName name="bud_honoraires_patrimoine_S2_fav">Budget!$H$39</definedName>
    <definedName name="bud_honoraires_patrimoine_S2">Budget!$I$39</definedName>
    <definedName name="bud_honoraires_patrimoine_S2_def">Budget!$J$39</definedName>
    <definedName name="bud_honoraires_patrimoine_S3_fav">Budget!$K$39</definedName>
    <definedName name="bud_honoraires_patrimoine_S3">Budget!$L$39</definedName>
    <definedName name="bud_honoraires_patrimoine_S3_def">Budget!$M$39</definedName>
    <definedName name="bud_dont_personnel_calc_S1_fav">Budget!$E$40</definedName>
    <definedName name="bud_dont_personnel_calc_S1">Budget!$F$40</definedName>
    <definedName name="bud_dont_personnel_calc_S1_def">Budget!$G$40</definedName>
    <definedName name="bud_dont_personnel_calc_S2_fav">Budget!$H$40</definedName>
    <definedName name="bud_dont_personnel_calc_S2">Budget!$I$40</definedName>
    <definedName name="bud_dont_personnel_calc_S2_def">Budget!$J$40</definedName>
    <definedName name="bud_dont_personnel_calc_S3_fav">Budget!$K$40</definedName>
    <definedName name="bud_dont_personnel_calc_S3">Budget!$L$40</definedName>
    <definedName name="bud_dont_personnel_calc_S3_def">Budget!$M$40</definedName>
    <definedName name="bud_etp_total_S1_fav">Budget!$E$41</definedName>
    <definedName name="bud_etp_total_S1">Budget!$F$41</definedName>
    <definedName name="bud_etp_total_S1_def">Budget!$G$41</definedName>
    <definedName name="bud_etp_total_S2_fav">Budget!$H$41</definedName>
    <definedName name="bud_etp_total_S2">Budget!$I$41</definedName>
    <definedName name="bud_etp_total_S2_def">Budget!$J$41</definedName>
    <definedName name="bud_etp_total_S3_fav">Budget!$K$41</definedName>
    <definedName name="bud_etp_total_S3">Budget!$L$41</definedName>
    <definedName name="bud_etp_total_S3_def">Budget!$M$41</definedName>
    <definedName name="bud_st_fonctionnement_S1_fav">Budget!$E$42</definedName>
    <definedName name="bud_st_fonctionnement_S1">Budget!$F$42</definedName>
    <definedName name="bud_st_fonctionnement_S1_def">Budget!$G$42</definedName>
    <definedName name="bud_st_fonctionnement_S2_fav">Budget!$H$42</definedName>
    <definedName name="bud_st_fonctionnement_S2">Budget!$I$42</definedName>
    <definedName name="bud_st_fonctionnement_S2_def">Budget!$J$42</definedName>
    <definedName name="bud_st_fonctionnement_S3_fav">Budget!$K$42</definedName>
    <definedName name="bud_st_fonctionnement_S3">Budget!$L$42</definedName>
    <definedName name="bud_st_fonctionnement_S3_def">Budget!$M$42</definedName>
    <definedName name="bud_st_provisions_S1_fav">Budget!$E$43</definedName>
    <definedName name="bud_st_provisions_S1">Budget!$F$43</definedName>
    <definedName name="bud_st_provisions_S1_def">Budget!$G$43</definedName>
    <definedName name="bud_st_provisions_S2_fav">Budget!$H$43</definedName>
    <definedName name="bud_st_provisions_S2">Budget!$I$43</definedName>
    <definedName name="bud_st_provisions_S2_def">Budget!$J$43</definedName>
    <definedName name="bud_st_provisions_S3_fav">Budget!$K$43</definedName>
    <definedName name="bud_st_provisions_S3">Budget!$L$43</definedName>
    <definedName name="bud_st_provisions_S3_def">Budget!$M$43</definedName>
    <definedName name="bud_imprevus_S1_fav">Budget!$E$44</definedName>
    <definedName name="bud_imprevus_S1">Budget!$F$44</definedName>
    <definedName name="bud_imprevus_S1_def">Budget!$G$44</definedName>
    <definedName name="bud_imprevus_S2_fav">Budget!$H$44</definedName>
    <definedName name="bud_imprevus_S2">Budget!$I$44</definedName>
    <definedName name="bud_imprevus_S2_def">Budget!$J$44</definedName>
    <definedName name="bud_imprevus_S3_fav">Budget!$K$44</definedName>
    <definedName name="bud_imprevus_S3">Budget!$L$44</definedName>
    <definedName name="bud_imprevus_S3_def">Budget!$M$44</definedName>
    <definedName name="bud_invest_futurs_S1_fav">Budget!$E$45</definedName>
    <definedName name="bud_invest_futurs_S1">Budget!$F$45</definedName>
    <definedName name="bud_invest_futurs_S1_def">Budget!$G$45</definedName>
    <definedName name="bud_invest_futurs_S2_fav">Budget!$H$45</definedName>
    <definedName name="bud_invest_futurs_S2">Budget!$I$45</definedName>
    <definedName name="bud_invest_futurs_S2_def">Budget!$J$45</definedName>
    <definedName name="bud_invest_futurs_S3_fav">Budget!$K$45</definedName>
    <definedName name="bud_invest_futurs_S3">Budget!$L$45</definedName>
    <definedName name="bud_invest_futurs_S3_def">Budget!$M$45</definedName>
    <definedName name="bud_total_besoin_S1_fav">Budget!$E$46</definedName>
    <definedName name="bud_total_besoin_S1">Budget!$F$46</definedName>
    <definedName name="bud_total_besoin_S1_def">Budget!$G$46</definedName>
    <definedName name="bud_total_besoin_S2_fav">Budget!$H$46</definedName>
    <definedName name="bud_total_besoin_S2">Budget!$I$46</definedName>
    <definedName name="bud_total_besoin_S2_def">Budget!$J$46</definedName>
    <definedName name="bud_total_besoin_S3_fav">Budget!$K$46</definedName>
    <definedName name="bud_total_besoin_S3">Budget!$L$46</definedName>
    <definedName name="bud_total_besoin_S3_def">Budget!$M$46</definedName>
    <definedName name="bud_dont_personnel_S1_fav">Budget!$E$47</definedName>
    <definedName name="bud_dont_personnel_S1">Budget!$F$47</definedName>
    <definedName name="bud_dont_personnel_S1_def">Budget!$G$47</definedName>
    <definedName name="bud_dont_personnel_S2_fav">Budget!$H$47</definedName>
    <definedName name="bud_dont_personnel_S2">Budget!$I$47</definedName>
    <definedName name="bud_dont_personnel_S2_def">Budget!$J$47</definedName>
    <definedName name="bud_dont_personnel_S3_fav">Budget!$K$47</definedName>
    <definedName name="bud_dont_personnel_S3">Budget!$L$47</definedName>
    <definedName name="bud_dont_personnel_S3_def">Budget!$M$47</definedName>
    <definedName name="bud_dont_bati_S1_fav">Budget!$E$48</definedName>
    <definedName name="bud_dont_bati_S1">Budget!$F$48</definedName>
    <definedName name="bud_dont_bati_S1_def">Budget!$G$48</definedName>
    <definedName name="bud_dont_bati_S2_fav">Budget!$H$48</definedName>
    <definedName name="bud_dont_bati_S2">Budget!$I$48</definedName>
    <definedName name="bud_dont_bati_S2_def">Budget!$J$48</definedName>
    <definedName name="bud_dont_bati_S3_fav">Budget!$K$48</definedName>
    <definedName name="bud_dont_bati_S3">Budget!$L$48</definedName>
    <definedName name="bud_dont_bati_S3_def">Budget!$M$48</definedName>
    <definedName name="bud_part_personnel_S1_fav">Budget!$E$49</definedName>
    <definedName name="bud_part_personnel_S1">Budget!$F$49</definedName>
    <definedName name="bud_part_personnel_S1_def">Budget!$G$49</definedName>
    <definedName name="bud_part_personnel_S2_fav">Budget!$H$49</definedName>
    <definedName name="bud_part_personnel_S2">Budget!$I$49</definedName>
    <definedName name="bud_part_personnel_S2_def">Budget!$J$49</definedName>
    <definedName name="bud_part_personnel_S3_fav">Budget!$K$49</definedName>
    <definedName name="bud_part_personnel_S3">Budget!$L$49</definedName>
    <definedName name="bud_part_personnel_S3_def">Budget!$M$49</definedName>
    <definedName name="bud_part_bati_S1_fav">Budget!$E$50</definedName>
    <definedName name="bud_part_bati_S1">Budget!$F$50</definedName>
    <definedName name="bud_part_bati_S1_def">Budget!$G$50</definedName>
    <definedName name="bud_part_bati_S2_fav">Budget!$H$50</definedName>
    <definedName name="bud_part_bati_S2">Budget!$I$50</definedName>
    <definedName name="bud_part_bati_S2_def">Budget!$J$50</definedName>
    <definedName name="bud_part_bati_S3_fav">Budget!$K$50</definedName>
    <definedName name="bud_part_bati_S3">Budget!$L$50</definedName>
    <definedName name="bud_part_bati_S3_def">Budget!$M$50</definedName>
    <definedName name="bud_besoin_ht_societe_S1_fav">Budget!$E$51</definedName>
    <definedName name="bud_besoin_ht_societe_S1">Budget!$F$51</definedName>
    <definedName name="bud_besoin_ht_societe_S1_def">Budget!$G$51</definedName>
    <definedName name="bud_besoin_ht_societe_S2_fav">Budget!$H$51</definedName>
    <definedName name="bud_besoin_ht_societe_S2">Budget!$I$51</definedName>
    <definedName name="bud_besoin_ht_societe_S2_def">Budget!$J$51</definedName>
    <definedName name="bud_besoin_ht_societe_S3_fav">Budget!$K$51</definedName>
    <definedName name="bud_besoin_ht_societe_S3">Budget!$L$51</definedName>
    <definedName name="bud_besoin_ht_societe_S3_def">Budget!$M$51</definedName>
    <definedName name="bud_besoin_par_m2_S1_fav">Budget!$E$52</definedName>
    <definedName name="bud_besoin_par_m2_S1">Budget!$F$52</definedName>
    <definedName name="bud_besoin_par_m2_S1_def">Budget!$G$52</definedName>
    <definedName name="bud_besoin_par_m2_S2_fav">Budget!$H$52</definedName>
    <definedName name="bud_besoin_par_m2_S2">Budget!$I$52</definedName>
    <definedName name="bud_besoin_par_m2_S2_def">Budget!$J$52</definedName>
    <definedName name="bud_besoin_par_m2_S3_fav">Budget!$K$52</definedName>
    <definedName name="bud_besoin_par_m2_S3">Budget!$L$52</definedName>
    <definedName name="bud_besoin_par_m2_S3_def">Budget!$M$52</definedName>
    <definedName name="bud_besoin_en_pct_valeur_S1_fav">Budget!$E$53</definedName>
    <definedName name="bud_besoin_en_pct_valeur_S1">Budget!$F$53</definedName>
    <definedName name="bud_besoin_en_pct_valeur_S1_def">Budget!$G$53</definedName>
    <definedName name="bud_besoin_en_pct_valeur_S2_fav">Budget!$H$53</definedName>
    <definedName name="bud_besoin_en_pct_valeur_S2">Budget!$I$53</definedName>
    <definedName name="bud_besoin_en_pct_valeur_S2_def">Budget!$J$53</definedName>
    <definedName name="bud_besoin_en_pct_valeur_S3_fav">Budget!$K$53</definedName>
    <definedName name="bud_besoin_en_pct_valeur_S3">Budget!$L$53</definedName>
    <definedName name="bud_besoin_en_pct_valeur_S3_def">Budget!$M$53</definedName>
    <definedName name="bud_dette_annuite_S1_fav">Budget!$E$54</definedName>
    <definedName name="bud_dette_annuite_S1">Budget!$F$54</definedName>
    <definedName name="bud_dette_annuite_S1_def">Budget!$G$54</definedName>
    <definedName name="bud_dette_annuite_S2_fav">Budget!$H$54</definedName>
    <definedName name="bud_dette_annuite_S2">Budget!$I$54</definedName>
    <definedName name="bud_dette_annuite_S2_def">Budget!$J$54</definedName>
    <definedName name="bud_dette_annuite_S3_fav">Budget!$K$54</definedName>
    <definedName name="bud_dette_annuite_S3">Budget!$L$54</definedName>
    <definedName name="bud_dette_annuite_S3_def">Budget!$M$54</definedName>
    <definedName name="bud_total_avec_dette_S1_fav">Budget!$E$55</definedName>
    <definedName name="bud_total_avec_dette_S1">Budget!$F$55</definedName>
    <definedName name="bud_total_avec_dette_S1_def">Budget!$G$55</definedName>
    <definedName name="bud_total_avec_dette_S2_fav">Budget!$H$55</definedName>
    <definedName name="bud_total_avec_dette_S2">Budget!$I$55</definedName>
    <definedName name="bud_total_avec_dette_S2_def">Budget!$J$55</definedName>
    <definedName name="bud_total_avec_dette_S3_fav">Budget!$K$55</definedName>
    <definedName name="bud_total_avec_dette_S3">Budget!$L$55</definedName>
    <definedName name="bud_total_avec_dette_S3_def">Budget!$M$55</definedName>
    <definedName name="mot_eq_std_ca_fav">Moteurs!$E$5</definedName>
    <definedName name="mot_eq_std_ca">Moteurs!$F$5</definedName>
    <definedName name="mot_eq_std_ca_def">Moteurs!$G$5</definedName>
    <definedName name="mot_eq_std_ch_fav">Moteurs!$E$6</definedName>
    <definedName name="mot_eq_std_ch">Moteurs!$F$6</definedName>
    <definedName name="mot_eq_std_ch_def">Moteurs!$G$6</definedName>
    <definedName name="mot_eq_std_cn_fav">Moteurs!$E$7</definedName>
    <definedName name="mot_eq_std_cn">Moteurs!$F$7</definedName>
    <definedName name="mot_eq_std_cn_def">Moteurs!$G$7</definedName>
    <definedName name="mot_eq_hdg_ca_fav">Moteurs!$E$8</definedName>
    <definedName name="mot_eq_hdg_ca">Moteurs!$F$8</definedName>
    <definedName name="mot_eq_hdg_ca_def">Moteurs!$G$8</definedName>
    <definedName name="mot_eq_hdg_ch_fav">Moteurs!$E$9</definedName>
    <definedName name="mot_eq_hdg_ch">Moteurs!$F$9</definedName>
    <definedName name="mot_eq_hdg_ch_def">Moteurs!$G$9</definedName>
    <definedName name="mot_eq_hdg_cn_fav">Moteurs!$E$10</definedName>
    <definedName name="mot_eq_hdg_cn">Moteurs!$F$10</definedName>
    <definedName name="mot_eq_hdg_cn_def">Moteurs!$G$10</definedName>
    <definedName name="mot_eq_pro_ca_fav">Moteurs!$E$11</definedName>
    <definedName name="mot_eq_pro_ca">Moteurs!$F$11</definedName>
    <definedName name="mot_eq_pro_ca_def">Moteurs!$G$11</definedName>
    <definedName name="mot_eq_pro_cn_fav">Moteurs!$E$12</definedName>
    <definedName name="mot_eq_pro_cn">Moteurs!$F$12</definedName>
    <definedName name="mot_eq_pro_cn_def">Moteurs!$G$12</definedName>
    <definedName name="mot_eq_ret_ca_fav">Moteurs!$E$13</definedName>
    <definedName name="mot_eq_ret_ca">Moteurs!$F$13</definedName>
    <definedName name="mot_eq_ret_ca_def">Moteurs!$G$13</definedName>
    <definedName name="mot_eq_ret_cn_fav">Moteurs!$E$14</definedName>
    <definedName name="mot_eq_ret_cn">Moteurs!$F$14</definedName>
    <definedName name="mot_eq_ret_cn_def">Moteurs!$G$14</definedName>
    <definedName name="mot_repro_cn_fav">Moteurs!$E$15</definedName>
    <definedName name="mot_repro_cn">Moteurs!$F$15</definedName>
    <definedName name="mot_repro_cn_def">Moteurs!$G$15</definedName>
    <definedName name="mot_evt_ca_fav">Moteurs!$E$16</definedName>
    <definedName name="mot_evt_ca">Moteurs!$F$16</definedName>
    <definedName name="mot_evt_ca_def">Moteurs!$G$16</definedName>
    <definedName name="mot_evt_ch_fav">Moteurs!$E$17</definedName>
    <definedName name="mot_evt_ch">Moteurs!$F$17</definedName>
    <definedName name="mot_evt_ch_def">Moteurs!$G$17</definedName>
    <definedName name="mot_evt_rv_fav">Moteurs!$E$18</definedName>
    <definedName name="mot_evt_rv">Moteurs!$F$18</definedName>
    <definedName name="mot_evt_rv_def">Moteurs!$G$18</definedName>
    <definedName name="mot_evt_cn_fav">Moteurs!$E$19</definedName>
    <definedName name="mot_evt_cn">Moteurs!$F$19</definedName>
    <definedName name="mot_evt_cn_def">Moteurs!$G$19</definedName>
    <definedName name="mot_evt_inv_fav">Moteurs!$E$20</definedName>
    <definedName name="mot_evt_inv">Moteurs!$F$20</definedName>
    <definedName name="mot_evt_inv_def">Moteurs!$G$20</definedName>
    <definedName name="mot_tourn_cn_fav">Moteurs!$E$21</definedName>
    <definedName name="mot_tourn_cn">Moteurs!$F$21</definedName>
    <definedName name="mot_tourn_cn_def">Moteurs!$G$21</definedName>
    <definedName name="mot_semj_ca_fav">Moteurs!$E$22</definedName>
    <definedName name="mot_semj_ca">Moteurs!$F$22</definedName>
    <definedName name="mot_semj_ca_def">Moteurs!$G$22</definedName>
    <definedName name="mot_semj_cn_fav">Moteurs!$E$23</definedName>
    <definedName name="mot_semj_cn">Moteurs!$F$23</definedName>
    <definedName name="mot_semj_cn_def">Moteurs!$G$23</definedName>
    <definedName name="mot_gite_ca_fav">Moteurs!$E$24</definedName>
    <definedName name="mot_gite_ca">Moteurs!$F$24</definedName>
    <definedName name="mot_gite_ca_def">Moteurs!$G$24</definedName>
    <definedName name="mot_gite_cn_fav">Moteurs!$E$25</definedName>
    <definedName name="mot_gite_cn">Moteurs!$F$25</definedName>
    <definedName name="mot_gite_cn_def">Moteurs!$G$25</definedName>
    <definedName name="mot_gite_inv_fav">Moteurs!$E$26</definedName>
    <definedName name="mot_gite_inv">Moteurs!$F$26</definedName>
    <definedName name="mot_gite_inv_def">Moteurs!$G$26</definedName>
    <definedName name="mot_log_ca_fav">Moteurs!$E$27</definedName>
    <definedName name="mot_log_ca">Moteurs!$F$27</definedName>
    <definedName name="mot_log_ca_def">Moteurs!$G$27</definedName>
    <definedName name="mot_log_cn_fav">Moteurs!$E$28</definedName>
    <definedName name="mot_log_cn">Moteurs!$F$28</definedName>
    <definedName name="mot_log_cn_def">Moteurs!$G$28</definedName>
    <definedName name="mot_log_inv_fav">Moteurs!$E$29</definedName>
    <definedName name="mot_log_inv">Moteurs!$F$29</definedName>
    <definedName name="mot_log_inv_def">Moteurs!$G$29</definedName>
    <definedName name="mot_log_rdt_fav">Moteurs!$E$30</definedName>
    <definedName name="mot_log_rdt">Moteurs!$F$30</definedName>
    <definedName name="mot_log_rdt_def">Moteurs!$G$30</definedName>
    <definedName name="mot_stock_cn_fav">Moteurs!$E$31</definedName>
    <definedName name="mot_stock_cn">Moteurs!$F$31</definedName>
    <definedName name="mot_stock_cn_def">Moteurs!$G$31</definedName>
    <definedName name="mot_auto_cn_fav">Moteurs!$E$32</definedName>
    <definedName name="mot_auto_cn">Moteurs!$F$32</definedName>
    <definedName name="mot_auto_cn_def">Moteurs!$G$32</definedName>
    <definedName name="mot_pv_cn_fav">Moteurs!$E$33</definedName>
    <definedName name="mot_pv_cn">Moteurs!$F$33</definedName>
    <definedName name="mot_pv_cn_def">Moteurs!$G$33</definedName>
    <definedName name="mot_bois_cn_fav">Moteurs!$E$34</definedName>
    <definedName name="mot_bois_cn">Moteurs!$F$34</definedName>
    <definedName name="mot_bois_cn_def">Moteurs!$G$34</definedName>
    <definedName name="mot_hot_ca_fav">Moteurs!$E$35</definedName>
    <definedName name="mot_hot_ca">Moteurs!$F$35</definedName>
    <definedName name="mot_hot_ca_def">Moteurs!$G$35</definedName>
    <definedName name="mot_hot_ch_fav">Moteurs!$E$36</definedName>
    <definedName name="mot_hot_ch">Moteurs!$F$36</definedName>
    <definedName name="mot_hot_ch_def">Moteurs!$G$36</definedName>
    <definedName name="mot_hot_rv_fav">Moteurs!$E$37</definedName>
    <definedName name="mot_hot_rv">Moteurs!$F$37</definedName>
    <definedName name="mot_hot_rv_def">Moteurs!$G$37</definedName>
    <definedName name="mot_hot_cn_fav">Moteurs!$E$38</definedName>
    <definedName name="mot_hot_cn">Moteurs!$F$38</definedName>
    <definedName name="mot_hot_cn_def">Moteurs!$G$38</definedName>
    <definedName name="mot_hot_inv_fav">Moteurs!$E$39</definedName>
    <definedName name="mot_hot_inv">Moteurs!$F$39</definedName>
    <definedName name="mot_hot_inv_def">Moteurs!$G$39</definedName>
    <definedName name="mot_dot_cn_par_m_fav">Moteurs!$E$40</definedName>
    <definedName name="mot_dot_cn_par_m">Moteurs!$F$40</definedName>
    <definedName name="mot_dot_cn_par_m_def">Moteurs!$G$40</definedName>
    <definedName name="mot_ent_cn_par_m_fav">Moteurs!$E$41</definedName>
    <definedName name="mot_ent_cn_par_m">Moteurs!$F$41</definedName>
    <definedName name="mot_ent_cn_par_m_def">Moteurs!$G$41</definedName>
    <definedName name="mod_M1_brute_fav">Modeles!$E$5</definedName>
    <definedName name="mod_M1_brute">Modeles!$F$5</definedName>
    <definedName name="mod_M1_brute_def">Modeles!$G$5</definedName>
    <definedName name="mod_M1_nette_fav">Modeles!$E$6</definedName>
    <definedName name="mod_M1_nette">Modeles!$F$6</definedName>
    <definedName name="mod_M1_nette_def">Modeles!$G$6</definedName>
    <definedName name="mod_M1_besoin_fav">Modeles!$E$7</definedName>
    <definedName name="mod_M1_besoin">Modeles!$F$7</definedName>
    <definedName name="mod_M1_besoin_def">Modeles!$G$7</definedName>
    <definedName name="mod_couv_M1_fav">Modeles!$E$8</definedName>
    <definedName name="mod_couv_M1">Modeles!$F$8</definedName>
    <definedName name="mod_couv_M1_def">Modeles!$G$8</definedName>
    <definedName name="mod_M1_ecart_fav">Modeles!$E$9</definedName>
    <definedName name="mod_M1_ecart">Modeles!$F$9</definedName>
    <definedName name="mod_M1_ecart_def">Modeles!$G$9</definedName>
    <definedName name="mod_M1_dotation_fav">Modeles!$E$10</definedName>
    <definedName name="mod_M1_dotation">Modeles!$F$10</definedName>
    <definedName name="mod_M1_dotation_def">Modeles!$G$10</definedName>
    <definedName name="mod_M1_ebitda_fav">Modeles!$E$11</definedName>
    <definedName name="mod_M1_ebitda">Modeles!$F$11</definedName>
    <definedName name="mod_M1_ebitda_def">Modeles!$G$11</definedName>
    <definedName name="mod_M1_invest_fav">Modeles!$E$12</definedName>
    <definedName name="mod_M1_invest">Modeles!$F$12</definedName>
    <definedName name="mod_M1_invest_def">Modeles!$G$12</definedName>
    <definedName name="mod_part_M1_recurrent_fav">Modeles!$E$13</definedName>
    <definedName name="mod_part_M1_recurrent">Modeles!$F$13</definedName>
    <definedName name="mod_part_M1_recurrent_def">Modeles!$G$13</definedName>
    <definedName name="mod_M2_brute_fav">Modeles!$E$14</definedName>
    <definedName name="mod_M2_brute">Modeles!$F$14</definedName>
    <definedName name="mod_M2_brute_def">Modeles!$G$14</definedName>
    <definedName name="mod_M2_nette_fav">Modeles!$E$15</definedName>
    <definedName name="mod_M2_nette">Modeles!$F$15</definedName>
    <definedName name="mod_M2_nette_def">Modeles!$G$15</definedName>
    <definedName name="mod_M2_besoin_fav">Modeles!$E$16</definedName>
    <definedName name="mod_M2_besoin">Modeles!$F$16</definedName>
    <definedName name="mod_M2_besoin_def">Modeles!$G$16</definedName>
    <definedName name="mod_couv_M2_fav">Modeles!$E$17</definedName>
    <definedName name="mod_couv_M2">Modeles!$F$17</definedName>
    <definedName name="mod_couv_M2_def">Modeles!$G$17</definedName>
    <definedName name="mod_M2_ecart_fav">Modeles!$E$18</definedName>
    <definedName name="mod_M2_ecart">Modeles!$F$18</definedName>
    <definedName name="mod_M2_ecart_def">Modeles!$G$18</definedName>
    <definedName name="mod_M2_dotation_fav">Modeles!$E$19</definedName>
    <definedName name="mod_M2_dotation">Modeles!$F$19</definedName>
    <definedName name="mod_M2_dotation_def">Modeles!$G$19</definedName>
    <definedName name="mod_M2_ebitda_fav">Modeles!$E$20</definedName>
    <definedName name="mod_M2_ebitda">Modeles!$F$20</definedName>
    <definedName name="mod_M2_ebitda_def">Modeles!$G$20</definedName>
    <definedName name="mod_M2_invest_fav">Modeles!$E$21</definedName>
    <definedName name="mod_M2_invest">Modeles!$F$21</definedName>
    <definedName name="mod_M2_invest_def">Modeles!$G$21</definedName>
    <definedName name="mod_part_M2_recurrent_fav">Modeles!$E$22</definedName>
    <definedName name="mod_part_M2_recurrent">Modeles!$F$22</definedName>
    <definedName name="mod_part_M2_recurrent_def">Modeles!$G$22</definedName>
    <definedName name="mod_M3_brute_fav">Modeles!$E$23</definedName>
    <definedName name="mod_M3_brute">Modeles!$F$23</definedName>
    <definedName name="mod_M3_brute_def">Modeles!$G$23</definedName>
    <definedName name="mod_M3_nette_fav">Modeles!$E$24</definedName>
    <definedName name="mod_M3_nette">Modeles!$F$24</definedName>
    <definedName name="mod_M3_nette_def">Modeles!$G$24</definedName>
    <definedName name="mod_M3_besoin_fav">Modeles!$E$25</definedName>
    <definedName name="mod_M3_besoin">Modeles!$F$25</definedName>
    <definedName name="mod_M3_besoin_def">Modeles!$G$25</definedName>
    <definedName name="mod_couv_M3_fav">Modeles!$E$26</definedName>
    <definedName name="mod_couv_M3">Modeles!$F$26</definedName>
    <definedName name="mod_couv_M3_def">Modeles!$G$26</definedName>
    <definedName name="mod_M3_ecart_fav">Modeles!$E$27</definedName>
    <definedName name="mod_M3_ecart">Modeles!$F$27</definedName>
    <definedName name="mod_M3_ecart_def">Modeles!$G$27</definedName>
    <definedName name="mod_M3_dotation_fav">Modeles!$E$28</definedName>
    <definedName name="mod_M3_dotation">Modeles!$F$28</definedName>
    <definedName name="mod_M3_dotation_def">Modeles!$G$28</definedName>
    <definedName name="mod_M3_ebitda_fav">Modeles!$E$29</definedName>
    <definedName name="mod_M3_ebitda">Modeles!$F$29</definedName>
    <definedName name="mod_M3_ebitda_def">Modeles!$G$29</definedName>
    <definedName name="mod_M3_invest_fav">Modeles!$E$30</definedName>
    <definedName name="mod_M3_invest">Modeles!$F$30</definedName>
    <definedName name="mod_M3_invest_def">Modeles!$G$30</definedName>
    <definedName name="mod_part_M3_recurrent_fav">Modeles!$E$31</definedName>
    <definedName name="mod_part_M3_recurrent">Modeles!$F$31</definedName>
    <definedName name="mod_part_M3_recurrent_def">Modeles!$G$31</definedName>
    <definedName name="mod_M4_brute_fav">Modeles!$E$32</definedName>
    <definedName name="mod_M4_brute">Modeles!$F$32</definedName>
    <definedName name="mod_M4_brute_def">Modeles!$G$32</definedName>
    <definedName name="mod_M4_nette_fav">Modeles!$E$33</definedName>
    <definedName name="mod_M4_nette">Modeles!$F$33</definedName>
    <definedName name="mod_M4_nette_def">Modeles!$G$33</definedName>
    <definedName name="mod_M4_besoin_fav">Modeles!$E$34</definedName>
    <definedName name="mod_M4_besoin">Modeles!$F$34</definedName>
    <definedName name="mod_M4_besoin_def">Modeles!$G$34</definedName>
    <definedName name="mod_couv_M4_fav">Modeles!$E$35</definedName>
    <definedName name="mod_couv_M4">Modeles!$F$35</definedName>
    <definedName name="mod_couv_M4_def">Modeles!$G$35</definedName>
    <definedName name="mod_M4_ecart_fav">Modeles!$E$36</definedName>
    <definedName name="mod_M4_ecart">Modeles!$F$36</definedName>
    <definedName name="mod_M4_ecart_def">Modeles!$G$36</definedName>
    <definedName name="mod_M4_dotation_fav">Modeles!$E$37</definedName>
    <definedName name="mod_M4_dotation">Modeles!$F$37</definedName>
    <definedName name="mod_M4_dotation_def">Modeles!$G$37</definedName>
    <definedName name="mod_M4_ebitda_fav">Modeles!$E$38</definedName>
    <definedName name="mod_M4_ebitda">Modeles!$F$38</definedName>
    <definedName name="mod_M4_ebitda_def">Modeles!$G$38</definedName>
    <definedName name="mod_M4_invest_fav">Modeles!$E$39</definedName>
    <definedName name="mod_M4_invest">Modeles!$F$39</definedName>
    <definedName name="mod_M4_invest_def">Modeles!$G$39</definedName>
    <definedName name="mod_part_M4_recurrent_fav">Modeles!$E$40</definedName>
    <definedName name="mod_part_M4_recurrent">Modeles!$F$40</definedName>
    <definedName name="mod_part_M4_recurrent_def">Modeles!$G$40</definedName>
    <definedName name="mod_M5_brute_fav">Modeles!$E$41</definedName>
    <definedName name="mod_M5_brute">Modeles!$F$41</definedName>
    <definedName name="mod_M5_brute_def">Modeles!$G$41</definedName>
    <definedName name="mod_M5_nette_fav">Modeles!$E$42</definedName>
    <definedName name="mod_M5_nette">Modeles!$F$42</definedName>
    <definedName name="mod_M5_nette_def">Modeles!$G$42</definedName>
    <definedName name="mod_M5_besoin_fav">Modeles!$E$43</definedName>
    <definedName name="mod_M5_besoin">Modeles!$F$43</definedName>
    <definedName name="mod_M5_besoin_def">Modeles!$G$43</definedName>
    <definedName name="mod_couv_M5_fav">Modeles!$E$44</definedName>
    <definedName name="mod_couv_M5">Modeles!$F$44</definedName>
    <definedName name="mod_couv_M5_def">Modeles!$G$44</definedName>
    <definedName name="mod_M5_ecart_fav">Modeles!$E$45</definedName>
    <definedName name="mod_M5_ecart">Modeles!$F$45</definedName>
    <definedName name="mod_M5_ecart_def">Modeles!$G$45</definedName>
    <definedName name="mod_M5_dotation_fav">Modeles!$E$46</definedName>
    <definedName name="mod_M5_dotation">Modeles!$F$46</definedName>
    <definedName name="mod_M5_dotation_def">Modeles!$G$46</definedName>
    <definedName name="mod_M5_ebitda_fav">Modeles!$E$47</definedName>
    <definedName name="mod_M5_ebitda">Modeles!$F$47</definedName>
    <definedName name="mod_M5_ebitda_def">Modeles!$G$47</definedName>
    <definedName name="mod_M5_invest_fav">Modeles!$E$48</definedName>
    <definedName name="mod_M5_invest">Modeles!$F$48</definedName>
    <definedName name="mod_M5_invest_def">Modeles!$G$48</definedName>
    <definedName name="mod_part_M5_recurrent_fav">Modeles!$E$49</definedName>
    <definedName name="mod_part_M5_recurrent">Modeles!$F$49</definedName>
    <definedName name="mod_part_M5_recurrent_def">Modeles!$G$49</definedName>
    <definedName name="mod_M6_brute_fav">Modeles!$E$50</definedName>
    <definedName name="mod_M6_brute">Modeles!$F$50</definedName>
    <definedName name="mod_M6_brute_def">Modeles!$G$50</definedName>
    <definedName name="mod_M6_nette_fav">Modeles!$E$51</definedName>
    <definedName name="mod_M6_nette">Modeles!$F$51</definedName>
    <definedName name="mod_M6_nette_def">Modeles!$G$51</definedName>
    <definedName name="mod_M6_besoin_fav">Modeles!$E$52</definedName>
    <definedName name="mod_M6_besoin">Modeles!$F$52</definedName>
    <definedName name="mod_M6_besoin_def">Modeles!$G$52</definedName>
    <definedName name="mod_couv_M6_fav">Modeles!$E$53</definedName>
    <definedName name="mod_couv_M6">Modeles!$F$53</definedName>
    <definedName name="mod_couv_M6_def">Modeles!$G$53</definedName>
    <definedName name="mod_M6_ecart_fav">Modeles!$E$54</definedName>
    <definedName name="mod_M6_ecart">Modeles!$F$54</definedName>
    <definedName name="mod_M6_ecart_def">Modeles!$G$54</definedName>
    <definedName name="mod_M6_dotation_fav">Modeles!$E$55</definedName>
    <definedName name="mod_M6_dotation">Modeles!$F$55</definedName>
    <definedName name="mod_M6_dotation_def">Modeles!$G$55</definedName>
    <definedName name="mod_M6_ebitda_fav">Modeles!$E$56</definedName>
    <definedName name="mod_M6_ebitda">Modeles!$F$56</definedName>
    <definedName name="mod_M6_ebitda_def">Modeles!$G$56</definedName>
    <definedName name="mod_M6_invest_fav">Modeles!$E$57</definedName>
    <definedName name="mod_M6_invest">Modeles!$F$57</definedName>
    <definedName name="mod_M6_invest_def">Modeles!$G$57</definedName>
    <definedName name="mod_part_M6_recurrent_fav">Modeles!$E$58</definedName>
    <definedName name="mod_part_M6_recurrent">Modeles!$F$58</definedName>
    <definedName name="mod_part_M6_recurrent_def">Modeles!$G$58</definedName>
    <definedName name="prj_Proj_S2_sans_moteur_reserve">'Proj_S2_sans_moteur'!$E$40:$X$40</definedName>
    <definedName name="prj_Proj_S2_sans_moteur_dotation_fin">'Proj_S2_sans_moteur'!$E$39:$X$39</definedName>
    <definedName name="prj_Proj_S2_sans_moteur_flux_solde">'Proj_S2_sans_moteur'!$E$37:$X$37</definedName>
    <definedName name="prj_Proj_S2_sans_moteur_kpi_couverture">'Proj_S2_sans_moteur'!$E$42:$X$42</definedName>
    <definedName name="prj_Proj_S2_sans_moteur_kpi_deficit">'Proj_S2_sans_moteur'!$E$44:$X$44</definedName>
    <definedName name="prj_Proj_S2_sans_moteur_total_charges">'Proj_S2_sans_moteur'!$E$16:$X$16</definedName>
    <definedName name="prj_Proj_S2_sans_moteur_act_nette">'Proj_S2_sans_moteur'!$E$27:$X$27</definedName>
    <definedName name="prj_Proj_S2_sans_moteur_kpi_liquidite">'Proj_S2_sans_moteur'!$E$41:$X$41</definedName>
    <definedName name="prj_Proj_S2_solution_reserve">'Proj_S2_solution'!$E$40:$X$40</definedName>
    <definedName name="prj_Proj_S2_solution_dotation_fin">'Proj_S2_solution'!$E$39:$X$39</definedName>
    <definedName name="prj_Proj_S2_solution_flux_solde">'Proj_S2_solution'!$E$37:$X$37</definedName>
    <definedName name="prj_Proj_S2_solution_kpi_couverture">'Proj_S2_solution'!$E$42:$X$42</definedName>
    <definedName name="prj_Proj_S2_solution_kpi_deficit">'Proj_S2_solution'!$E$44:$X$44</definedName>
    <definedName name="prj_Proj_S2_solution_total_charges">'Proj_S2_solution'!$E$16:$X$16</definedName>
    <definedName name="prj_Proj_S2_solution_act_nette">'Proj_S2_solution'!$E$27:$X$27</definedName>
    <definedName name="prj_Proj_S2_solution_kpi_liquidite">'Proj_S2_solution'!$E$41:$X$41</definedName>
    <definedName name="prj_ST_S2_ca30_reserve">'ST_S2_ca30'!$E$40:$X$40</definedName>
    <definedName name="prj_ST_S2_ca30_dotation_fin">'ST_S2_ca30'!$E$39:$X$39</definedName>
    <definedName name="prj_ST_S2_ca30_flux_solde">'ST_S2_ca30'!$E$37:$X$37</definedName>
    <definedName name="prj_ST_S2_ca30_kpi_couverture">'ST_S2_ca30'!$E$42:$X$42</definedName>
    <definedName name="prj_ST_S2_ca30_kpi_deficit">'ST_S2_ca30'!$E$44:$X$44</definedName>
    <definedName name="prj_ST_S2_ca30_total_charges">'ST_S2_ca30'!$E$16:$X$16</definedName>
    <definedName name="prj_ST_S2_ca30_act_nette">'ST_S2_ca30'!$E$27:$X$27</definedName>
    <definedName name="prj_ST_S2_ca30_kpi_liquidite">'ST_S2_ca30'!$E$41:$X$41</definedName>
    <definedName name="prj_ST_S2_crise_reserve">'ST_S2_crise'!$E$40:$X$40</definedName>
    <definedName name="prj_ST_S2_crise_dotation_fin">'ST_S2_crise'!$E$39:$X$39</definedName>
    <definedName name="prj_ST_S2_crise_flux_solde">'ST_S2_crise'!$E$37:$X$37</definedName>
    <definedName name="prj_ST_S2_crise_kpi_couverture">'ST_S2_crise'!$E$42:$X$42</definedName>
    <definedName name="prj_ST_S2_crise_kpi_deficit">'ST_S2_crise'!$E$44:$X$44</definedName>
    <definedName name="prj_ST_S2_crise_total_charges">'ST_S2_crise'!$E$16:$X$16</definedName>
    <definedName name="prj_ST_S2_crise_act_nette">'ST_S2_crise'!$E$27:$X$27</definedName>
    <definedName name="prj_ST_S2_crise_kpi_liquidite">'ST_S2_crise'!$E$41:$X$41</definedName>
    <definedName name="prj_ST_S2_travaux_reserve">'ST_S2_travaux'!$E$40:$X$40</definedName>
    <definedName name="prj_ST_S2_travaux_dotation_fin">'ST_S2_travaux'!$E$39:$X$39</definedName>
    <definedName name="prj_ST_S2_travaux_flux_solde">'ST_S2_travaux'!$E$37:$X$37</definedName>
    <definedName name="prj_ST_S2_travaux_kpi_couverture">'ST_S2_travaux'!$E$42:$X$42</definedName>
    <definedName name="prj_ST_S2_travaux_kpi_deficit">'ST_S2_travaux'!$E$44:$X$44</definedName>
    <definedName name="prj_ST_S2_travaux_total_charges">'ST_S2_travaux'!$E$16:$X$16</definedName>
    <definedName name="prj_ST_S2_travaux_act_nette">'ST_S2_travaux'!$E$27:$X$27</definedName>
    <definedName name="prj_ST_S2_travaux_kpi_liquidite">'ST_S2_travaux'!$E$41:$X$41</definedName>
    <definedName name="prj_ST_S2_energie_reserve">'ST_S2_energie'!$E$40:$X$40</definedName>
    <definedName name="prj_ST_S2_energie_dotation_fin">'ST_S2_energie'!$E$39:$X$39</definedName>
    <definedName name="prj_ST_S2_energie_flux_solde">'ST_S2_energie'!$E$37:$X$37</definedName>
    <definedName name="prj_ST_S2_energie_kpi_couverture">'ST_S2_energie'!$E$42:$X$42</definedName>
    <definedName name="prj_ST_S2_energie_kpi_deficit">'ST_S2_energie'!$E$44:$X$44</definedName>
    <definedName name="prj_ST_S2_energie_total_charges">'ST_S2_energie'!$E$16:$X$16</definedName>
    <definedName name="prj_ST_S2_energie_act_nette">'ST_S2_energie'!$E$27:$X$27</definedName>
    <definedName name="prj_ST_S2_energie_kpi_liquidite">'ST_S2_energie'!$E$41:$X$41</definedName>
    <definedName name="prj_ST_S2_salaires_reserve">'ST_S2_salaires'!$E$40:$X$40</definedName>
    <definedName name="prj_ST_S2_salaires_dotation_fin">'ST_S2_salaires'!$E$39:$X$39</definedName>
    <definedName name="prj_ST_S2_salaires_flux_solde">'ST_S2_salaires'!$E$37:$X$37</definedName>
    <definedName name="prj_ST_S2_salaires_kpi_couverture">'ST_S2_salaires'!$E$42:$X$42</definedName>
    <definedName name="prj_ST_S2_salaires_kpi_deficit">'ST_S2_salaires'!$E$44:$X$44</definedName>
    <definedName name="prj_ST_S2_salaires_total_charges">'ST_S2_salaires'!$E$16:$X$16</definedName>
    <definedName name="prj_ST_S2_salaires_act_nette">'ST_S2_salaires'!$E$27:$X$27</definedName>
    <definedName name="prj_ST_S2_salaires_kpi_liquidite">'ST_S2_salaires'!$E$41:$X$41</definedName>
    <definedName name="prj_ST_S2_moteur_reserve">'ST_S2_moteur'!$E$40:$X$40</definedName>
    <definedName name="prj_ST_S2_moteur_dotation_fin">'ST_S2_moteur'!$E$39:$X$39</definedName>
    <definedName name="prj_ST_S2_moteur_flux_solde">'ST_S2_moteur'!$E$37:$X$37</definedName>
    <definedName name="prj_ST_S2_moteur_kpi_couverture">'ST_S2_moteur'!$E$42:$X$42</definedName>
    <definedName name="prj_ST_S2_moteur_kpi_deficit">'ST_S2_moteur'!$E$44:$X$44</definedName>
    <definedName name="prj_ST_S2_moteur_total_charges">'ST_S2_moteur'!$E$16:$X$16</definedName>
    <definedName name="prj_ST_S2_moteur_act_nette">'ST_S2_moteur'!$E$27:$X$27</definedName>
    <definedName name="prj_ST_S2_moteur_kpi_liquidite">'ST_S2_moteur'!$E$41:$X$41</definedName>
    <definedName name="prj_ST_S2_cumul_reserve">'ST_S2_cumul'!$E$40:$X$40</definedName>
    <definedName name="prj_ST_S2_cumul_dotation_fin">'ST_S2_cumul'!$E$39:$X$39</definedName>
    <definedName name="prj_ST_S2_cumul_flux_solde">'ST_S2_cumul'!$E$37:$X$37</definedName>
    <definedName name="prj_ST_S2_cumul_kpi_couverture">'ST_S2_cumul'!$E$42:$X$42</definedName>
    <definedName name="prj_ST_S2_cumul_kpi_deficit">'ST_S2_cumul'!$E$44:$X$44</definedName>
    <definedName name="prj_ST_S2_cumul_total_charges">'ST_S2_cumul'!$E$16:$X$16</definedName>
    <definedName name="prj_ST_S2_cumul_act_nette">'ST_S2_cumul'!$E$27:$X$27</definedName>
    <definedName name="prj_ST_S2_cumul_kpi_liquidite">'ST_S2_cumul'!$E$41:$X$41</definedName>
    <definedName name="prj_Proj_S1_solution_reserve">'Proj_S1_solution'!$E$40:$X$40</definedName>
    <definedName name="prj_Proj_S1_solution_dotation_fin">'Proj_S1_solution'!$E$39:$X$39</definedName>
    <definedName name="prj_Proj_S1_solution_flux_solde">'Proj_S1_solution'!$E$37:$X$37</definedName>
    <definedName name="prj_Proj_S1_solution_kpi_couverture">'Proj_S1_solution'!$E$42:$X$42</definedName>
    <definedName name="prj_Proj_S1_solution_kpi_deficit">'Proj_S1_solution'!$E$44:$X$44</definedName>
    <definedName name="prj_Proj_S1_solution_total_charges">'Proj_S1_solution'!$E$16:$X$16</definedName>
    <definedName name="prj_Proj_S1_solution_act_nette">'Proj_S1_solution'!$E$27:$X$27</definedName>
    <definedName name="prj_Proj_S1_solution_kpi_liquidite">'Proj_S1_solution'!$E$41:$X$41</definedName>
    <definedName name="prj_ST_S1_cumul_reserve">'ST_S1_cumul'!$E$40:$X$40</definedName>
    <definedName name="prj_ST_S1_cumul_dotation_fin">'ST_S1_cumul'!$E$39:$X$39</definedName>
    <definedName name="prj_ST_S1_cumul_flux_solde">'ST_S1_cumul'!$E$37:$X$37</definedName>
    <definedName name="prj_ST_S1_cumul_kpi_couverture">'ST_S1_cumul'!$E$42:$X$42</definedName>
    <definedName name="prj_ST_S1_cumul_kpi_deficit">'ST_S1_cumul'!$E$44:$X$44</definedName>
    <definedName name="prj_ST_S1_cumul_total_charges">'ST_S1_cumul'!$E$16:$X$16</definedName>
    <definedName name="prj_ST_S1_cumul_act_nette">'ST_S1_cumul'!$E$27:$X$27</definedName>
    <definedName name="prj_ST_S1_cumul_kpi_liquidite">'ST_S1_cumul'!$E$41:$X$41</definedName>
    <definedName name="prj_Proj_S3_solution_reserve">'Proj_S3_solution'!$E$40:$X$40</definedName>
    <definedName name="prj_Proj_S3_solution_dotation_fin">'Proj_S3_solution'!$E$39:$X$39</definedName>
    <definedName name="prj_Proj_S3_solution_flux_solde">'Proj_S3_solution'!$E$37:$X$37</definedName>
    <definedName name="prj_Proj_S3_solution_kpi_couverture">'Proj_S3_solution'!$E$42:$X$42</definedName>
    <definedName name="prj_Proj_S3_solution_kpi_deficit">'Proj_S3_solution'!$E$44:$X$44</definedName>
    <definedName name="prj_Proj_S3_solution_total_charges">'Proj_S3_solution'!$E$16:$X$16</definedName>
    <definedName name="prj_Proj_S3_solution_act_nette">'Proj_S3_solution'!$E$27:$X$27</definedName>
    <definedName name="prj_Proj_S3_solution_kpi_liquidite">'Proj_S3_solution'!$E$41:$X$41</definedName>
  </definedNames>
  <calcPr calcId="124519" fullCalcOnLoad="1"/>
</workbook>
</file>

<file path=xl/styles.xml><?xml version="1.0" encoding="utf-8"?>
<styleSheet xmlns="http://schemas.openxmlformats.org/spreadsheetml/2006/main">
  <numFmts count="5">
    <numFmt numFmtId="164" formatCode="#,##0&quot; €&quot;;-#,##0&quot; €&quot;;&quot;-&quot;"/>
    <numFmt numFmtId="165" formatCode="0.0%;-0.0%;&quot;-&quot;"/>
    <numFmt numFmtId="166" formatCode="#,##0.###;-#,##0.###;&quot;-&quot;"/>
    <numFmt numFmtId="167" formatCode="#,##0.00&quot; €&quot;;-#,##0.00&quot; €&quot;;&quot;-&quot;"/>
    <numFmt numFmtId="168" formatCode="#,##0.0;-#,##0.0;&quot;-&quot;"/>
  </numFmts>
  <fonts count="6">
    <font>
      <name val="Calibri"/>
      <family val="2"/>
      <color theme="1"/>
      <sz val="11"/>
      <scheme val="minor"/>
    </font>
    <font>
      <name val="Arial"/>
      <b val="1"/>
      <sz val="13"/>
    </font>
    <font>
      <name val="Arial"/>
      <sz val="10"/>
    </font>
    <font>
      <name val="Arial"/>
      <b val="1"/>
      <color rgb="00FFFFFF"/>
      <sz val="10"/>
    </font>
    <font>
      <name val="Arial"/>
      <b val="1"/>
      <sz val="10"/>
    </font>
    <font>
      <name val="Arial"/>
      <color rgb="000000FF"/>
      <sz val="10"/>
    </font>
  </fonts>
  <fills count="8">
    <fill>
      <patternFill/>
    </fill>
    <fill>
      <patternFill patternType="gray125"/>
    </fill>
    <fill>
      <patternFill patternType="solid">
        <fgColor rgb="001F3A5F"/>
      </patternFill>
    </fill>
    <fill>
      <patternFill patternType="solid">
        <fgColor rgb="00E8EEF5"/>
      </patternFill>
    </fill>
    <fill>
      <patternFill patternType="solid">
        <fgColor rgb="00FCE4D6"/>
      </patternFill>
    </fill>
    <fill>
      <patternFill patternType="solid">
        <fgColor rgb="00FFFF00"/>
      </patternFill>
    </fill>
    <fill>
      <patternFill patternType="solid">
        <fgColor rgb="00FFF2CC"/>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wrapText="1"/>
    </xf>
    <xf numFmtId="0" fontId="3" fillId="2" borderId="1" applyAlignment="1" pivotButton="0" quotePrefix="0" xfId="0">
      <alignment horizontal="center" vertical="center" wrapText="1"/>
    </xf>
    <xf numFmtId="0" fontId="4" fillId="3" borderId="0" pivotButton="0" quotePrefix="0" xfId="0"/>
    <xf numFmtId="164" fontId="5" fillId="0" borderId="1" pivotButton="0" quotePrefix="0" xfId="0"/>
    <xf numFmtId="0" fontId="2" fillId="4" borderId="0" pivotButton="0" quotePrefix="0" xfId="0"/>
    <xf numFmtId="0" fontId="2" fillId="0" borderId="0" applyAlignment="1" pivotButton="0" quotePrefix="0" xfId="0">
      <alignment vertical="top" wrapText="1"/>
    </xf>
    <xf numFmtId="165" fontId="5" fillId="0" borderId="1" pivotButton="0" quotePrefix="0" xfId="0"/>
    <xf numFmtId="165" fontId="5" fillId="5" borderId="1" pivotButton="0" quotePrefix="0" xfId="0"/>
    <xf numFmtId="0" fontId="2" fillId="6" borderId="0" pivotButton="0" quotePrefix="0" xfId="0"/>
    <xf numFmtId="0" fontId="2" fillId="7" borderId="0" pivotButton="0" quotePrefix="0" xfId="0"/>
    <xf numFmtId="164" fontId="5" fillId="5" borderId="1" pivotButton="0" quotePrefix="0" xfId="0"/>
    <xf numFmtId="166" fontId="5" fillId="0" borderId="1" pivotButton="0" quotePrefix="0" xfId="0"/>
    <xf numFmtId="167" fontId="5" fillId="0" borderId="1" pivotButton="0" quotePrefix="0" xfId="0"/>
    <xf numFmtId="165" fontId="2" fillId="0" borderId="0" pivotButton="0" quotePrefix="0" xfId="0"/>
    <xf numFmtId="164" fontId="2" fillId="0" borderId="1" pivotButton="0" quotePrefix="0" xfId="0"/>
    <xf numFmtId="0" fontId="4" fillId="0" borderId="0" pivotButton="0" quotePrefix="0" xfId="0"/>
    <xf numFmtId="164" fontId="4" fillId="3" borderId="1" pivotButton="0" quotePrefix="0" xfId="0"/>
    <xf numFmtId="165" fontId="2" fillId="0" borderId="1" pivotButton="0" quotePrefix="0" xfId="0"/>
    <xf numFmtId="168" fontId="2" fillId="0" borderId="1" pivotButton="0" quotePrefix="0" xfId="0"/>
    <xf numFmtId="164" fontId="2" fillId="3" borderId="1" pivotButton="0" quotePrefix="0" xfId="0"/>
    <xf numFmtId="165" fontId="2" fillId="3" borderId="1" pivotButton="0" quotePrefix="0" xfId="0"/>
    <xf numFmtId="168" fontId="2" fillId="3" borderId="1" pivotButton="0" quotePrefix="0" xfId="0"/>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50" customWidth="1" min="1" max="1"/>
  </cols>
  <sheetData>
    <row r="1">
      <c r="A1" s="1" t="inlineStr">
        <is>
          <t>MODÈLE — L'ÉQUATION ÉCONOMIQUE D'UN CHÂTEAU</t>
        </is>
      </c>
    </row>
    <row r="2">
      <c r="A2" s="2" t="inlineStr"/>
    </row>
    <row r="3">
      <c r="A3" s="2" t="inlineStr">
        <is>
          <t>Objet : budget annuel de fonctionnement de trois domaines types (S1, S2, S3), contribution nette des moteurs de revenus, comparaison des modèles économiques, projection sur 20 ans de la meilleure solution, stress tests.</t>
        </is>
      </c>
    </row>
    <row r="4">
      <c r="A4" s="2" t="inlineStr">
        <is>
          <t>Unités : € constants 2026, TTC pour un propriétaire particulier, sauf mention contraire.</t>
        </is>
      </c>
    </row>
    <row r="5">
      <c r="A5" s="2" t="inlineStr">
        <is>
          <t>Couleurs : bleu = saisie modifiable (feuille Hypotheses) ; noir = formule ; fond jaune = hypothèse clé ; vert = lien vers une autre feuille.</t>
        </is>
      </c>
    </row>
    <row r="6">
      <c r="A6" s="2" t="inlineStr">
        <is>
          <t>Statuts : SOURCÉ (source citée, voir feuille Sources), ESTIMATION (raisonnement sur sources), HYPOTHÈSE (choix de modélisation à valider).</t>
        </is>
      </c>
    </row>
    <row r="7">
      <c r="A7" s="2" t="inlineStr">
        <is>
          <t>Trois cas par hypothèse : favorable, central, défavorable pour l'équilibre du domaine.</t>
        </is>
      </c>
    </row>
    <row r="8">
      <c r="A8" s="2" t="inlineStr">
        <is>
          <t>Toutes les cellules calculées sont des formules : modifier une hypothèse recalcule tout.</t>
        </is>
      </c>
    </row>
    <row r="9">
      <c r="A9" s="2" t="inlineStr">
        <is>
          <t>Méthode, définitions et limites : voir 00_PILOTAGE/Cadre_analytique.md et 03_LIVRABLES/.</t>
        </is>
      </c>
    </row>
    <row r="10">
      <c r="A10" s="2" t="inlineStr">
        <is>
          <t>Vérification : chaque formule a été recalculée par LibreOffice et comparée à un calcul Python indépendant (02_MODELE/sorties/verification.json).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9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58" customWidth="1" min="2" max="2"/>
    <col width="13" customWidth="1" min="3" max="3"/>
    <col width="13" customWidth="1" min="4" max="4"/>
    <col width="13" customWidth="1" min="5" max="5"/>
    <col width="16" customWidth="1" min="6" max="6"/>
    <col width="13" customWidth="1" min="7" max="7"/>
    <col width="22" customWidth="1" min="8" max="8"/>
    <col width="70" customWidth="1" min="9" max="9"/>
    <col width="18" customWidth="1" min="10" max="10"/>
  </cols>
  <sheetData>
    <row r="1">
      <c r="A1" s="1" t="inlineStr">
        <is>
          <t>HYPOTHÈSES DU MODÈLE — une ligne par paramètre (saisies en bleu)</t>
        </is>
      </c>
    </row>
    <row r="2" ht="42" customHeight="1">
      <c r="A2" s="3" t="inlineStr">
        <is>
          <t>Favorable / Central / Défavorable : valeurs pour l'équilibre du domaine (favorable = coût plus bas ou recette plus haute). Statut : SOURCÉ (source citée), ESTIMATION (raisonnement sur sources), HYPOTHÈSE (choix de modélisation). Identifiants de sources : voir la feuille Sources.</t>
        </is>
      </c>
    </row>
    <row r="4">
      <c r="A4" s="4" t="inlineStr">
        <is>
          <t>Nom (identifiant)</t>
        </is>
      </c>
      <c r="B4" s="4" t="inlineStr">
        <is>
          <t>Libellé</t>
        </is>
      </c>
      <c r="C4" s="4" t="inlineStr">
        <is>
          <t>Favorable</t>
        </is>
      </c>
      <c r="D4" s="4" t="inlineStr">
        <is>
          <t>Central</t>
        </is>
      </c>
      <c r="E4" s="4" t="inlineStr">
        <is>
          <t>Défavorable</t>
        </is>
      </c>
      <c r="F4" s="4" t="inlineStr">
        <is>
          <t>Unité</t>
        </is>
      </c>
      <c r="G4" s="4" t="inlineStr">
        <is>
          <t>Statut</t>
        </is>
      </c>
      <c r="H4" s="4" t="inlineStr">
        <is>
          <t>Sources</t>
        </is>
      </c>
      <c r="I4" s="4" t="inlineStr">
        <is>
          <t>Note / justification</t>
        </is>
      </c>
      <c r="J4" s="4" t="inlineStr">
        <is>
          <t>Groupe</t>
        </is>
      </c>
    </row>
    <row r="5">
      <c r="A5" s="5" t="inlineStr">
        <is>
          <t>— Assurances, taxes, administration —</t>
        </is>
      </c>
    </row>
    <row r="6">
      <c r="A6" s="2" t="inlineStr">
        <is>
          <t>S1_admin</t>
        </is>
      </c>
      <c r="B6" s="2" t="inlineStr">
        <is>
          <t>S1 — administration (comptabilité, banque, informatique, télécoms)</t>
        </is>
      </c>
      <c r="C6" s="6" t="n">
        <v>4000</v>
      </c>
      <c r="D6" s="6" t="n">
        <v>7000</v>
      </c>
      <c r="E6" s="6" t="n">
        <v>12000</v>
      </c>
      <c r="F6" s="2" t="inlineStr">
        <is>
          <t>€/an TTC</t>
        </is>
      </c>
      <c r="G6" s="7" t="inlineStr">
        <is>
          <t>HYPOTHÈSE</t>
        </is>
      </c>
      <c r="H6" s="2" t="inlineStr"/>
      <c r="I6" s="8" t="inlineStr"/>
      <c r="J6" s="2" t="inlineStr">
        <is>
          <t>Assurances, taxes, administration</t>
        </is>
      </c>
    </row>
    <row r="7">
      <c r="A7" s="2" t="inlineStr">
        <is>
          <t>S1_assurances_autres</t>
        </is>
      </c>
      <c r="B7" s="2" t="inlineStr">
        <is>
          <t>S1 — RC, véhicules, chevaux, contenu</t>
        </is>
      </c>
      <c r="C7" s="6" t="n">
        <v>2000</v>
      </c>
      <c r="D7" s="6" t="n">
        <v>3500</v>
      </c>
      <c r="E7" s="6" t="n">
        <v>6000</v>
      </c>
      <c r="F7" s="2" t="inlineStr">
        <is>
          <t>€/an TTC</t>
        </is>
      </c>
      <c r="G7" s="7" t="inlineStr">
        <is>
          <t>HYPOTHÈSE</t>
        </is>
      </c>
      <c r="H7" s="2" t="inlineStr">
        <is>
          <t>R1-27</t>
        </is>
      </c>
      <c r="I7" s="8" t="inlineStr"/>
      <c r="J7" s="2" t="inlineStr">
        <is>
          <t>Assurances, taxes, administration</t>
        </is>
      </c>
    </row>
    <row r="8">
      <c r="A8" s="2" t="inlineStr">
        <is>
          <t>S2_admin</t>
        </is>
      </c>
      <c r="B8" s="2" t="inlineStr">
        <is>
          <t>S2 — administration</t>
        </is>
      </c>
      <c r="C8" s="6" t="n">
        <v>15000</v>
      </c>
      <c r="D8" s="6" t="n">
        <v>25000</v>
      </c>
      <c r="E8" s="6" t="n">
        <v>40000</v>
      </c>
      <c r="F8" s="2" t="inlineStr">
        <is>
          <t>€/an TTC</t>
        </is>
      </c>
      <c r="G8" s="7" t="inlineStr">
        <is>
          <t>HYPOTHÈSE</t>
        </is>
      </c>
      <c r="H8" s="2" t="inlineStr"/>
      <c r="I8" s="8" t="inlineStr"/>
      <c r="J8" s="2" t="inlineStr">
        <is>
          <t>Assurances, taxes, administration</t>
        </is>
      </c>
    </row>
    <row r="9">
      <c r="A9" s="2" t="inlineStr">
        <is>
          <t>S2_assurances_autres</t>
        </is>
      </c>
      <c r="B9" s="2" t="inlineStr">
        <is>
          <t>S2 — RC, véhicules, chevaux, contenu</t>
        </is>
      </c>
      <c r="C9" s="6" t="n">
        <v>5000</v>
      </c>
      <c r="D9" s="6" t="n">
        <v>9000</v>
      </c>
      <c r="E9" s="6" t="n">
        <v>15000</v>
      </c>
      <c r="F9" s="2" t="inlineStr">
        <is>
          <t>€/an TTC</t>
        </is>
      </c>
      <c r="G9" s="7" t="inlineStr">
        <is>
          <t>HYPOTHÈSE</t>
        </is>
      </c>
      <c r="H9" s="2" t="inlineStr">
        <is>
          <t>R1-27</t>
        </is>
      </c>
      <c r="I9" s="8" t="inlineStr"/>
      <c r="J9" s="2" t="inlineStr">
        <is>
          <t>Assurances, taxes, administration</t>
        </is>
      </c>
    </row>
    <row r="10">
      <c r="A10" s="2" t="inlineStr">
        <is>
          <t>S3_admin</t>
        </is>
      </c>
      <c r="B10" s="2" t="inlineStr">
        <is>
          <t>S3 — administration</t>
        </is>
      </c>
      <c r="C10" s="6" t="n">
        <v>40000</v>
      </c>
      <c r="D10" s="6" t="n">
        <v>70000</v>
      </c>
      <c r="E10" s="6" t="n">
        <v>110000</v>
      </c>
      <c r="F10" s="2" t="inlineStr">
        <is>
          <t>€/an TTC</t>
        </is>
      </c>
      <c r="G10" s="7" t="inlineStr">
        <is>
          <t>HYPOTHÈSE</t>
        </is>
      </c>
      <c r="H10" s="2" t="inlineStr"/>
      <c r="I10" s="8" t="inlineStr"/>
      <c r="J10" s="2" t="inlineStr">
        <is>
          <t>Assurances, taxes, administration</t>
        </is>
      </c>
    </row>
    <row r="11">
      <c r="A11" s="2" t="inlineStr">
        <is>
          <t>S3_assurances_autres</t>
        </is>
      </c>
      <c r="B11" s="2" t="inlineStr">
        <is>
          <t>S3 — RC, véhicules, chevaux, contenu, œuvres</t>
        </is>
      </c>
      <c r="C11" s="6" t="n">
        <v>12000</v>
      </c>
      <c r="D11" s="6" t="n">
        <v>20000</v>
      </c>
      <c r="E11" s="6" t="n">
        <v>35000</v>
      </c>
      <c r="F11" s="2" t="inlineStr">
        <is>
          <t>€/an TTC</t>
        </is>
      </c>
      <c r="G11" s="7" t="inlineStr">
        <is>
          <t>HYPOTHÈSE</t>
        </is>
      </c>
      <c r="H11" s="2" t="inlineStr">
        <is>
          <t>R1-27</t>
        </is>
      </c>
      <c r="I11" s="8" t="inlineStr"/>
      <c r="J11" s="2" t="inlineStr">
        <is>
          <t>Assurances, taxes, administration</t>
        </is>
      </c>
    </row>
    <row r="12">
      <c r="A12" s="2" t="inlineStr">
        <is>
          <t>assurance_taux</t>
        </is>
      </c>
      <c r="B12" s="2" t="inlineStr">
        <is>
          <t>Prime d'assurance des bâtiments, en ‰ de la valeur de reconstruction</t>
        </is>
      </c>
      <c r="C12" s="9" t="n">
        <v>0.0015</v>
      </c>
      <c r="D12" s="10" t="n">
        <v>0.003</v>
      </c>
      <c r="E12" s="9" t="n">
        <v>0.005</v>
      </c>
      <c r="F12" s="2" t="inlineStr">
        <is>
          <t>taux par an</t>
        </is>
      </c>
      <c r="G12" s="11" t="inlineStr">
        <is>
          <t>ESTIMATION</t>
        </is>
      </c>
      <c r="H12" s="2" t="inlineStr">
        <is>
          <t>R1-26; R1-27; R1-28; R1-32</t>
        </is>
      </c>
      <c r="I12" s="8" t="inlineStr">
        <is>
          <t>Barème d'un courtier : ≈ 5 ‰ (fiabilité faible). Cas observés 3 à 10 fois plus bas (petit château MH : 2 198 €/an ; Olhain : ≈ 7 500 €/an en moyenne sur 40 ans). Taux central retenu entre les deux. Risque de résiliation documenté (Olhain, 2026). À remplacer par des devis.</t>
        </is>
      </c>
      <c r="J12" s="2" t="inlineStr">
        <is>
          <t>Assurances, taxes, administration</t>
        </is>
      </c>
    </row>
    <row r="13">
      <c r="A13" s="2" t="inlineStr">
        <is>
          <t>ifi_abattement_rp</t>
        </is>
      </c>
      <c r="B13" s="2" t="inlineStr">
        <is>
          <t>IFI : abattement sur la résidence principale</t>
        </is>
      </c>
      <c r="C13" s="9" t="n">
        <v>0.3</v>
      </c>
      <c r="D13" s="9" t="n">
        <v>0.3</v>
      </c>
      <c r="E13" s="9" t="n">
        <v>0</v>
      </c>
      <c r="F13" s="2" t="inlineStr">
        <is>
          <t>%</t>
        </is>
      </c>
      <c r="G13" s="12" t="inlineStr">
        <is>
          <t>SOURCÉ</t>
        </is>
      </c>
      <c r="H13" s="2" t="inlineStr">
        <is>
          <t>R3-01; R3-15</t>
        </is>
      </c>
      <c r="I13" s="8" t="inlineStr">
        <is>
          <t>Barème 2026 : seuil 1,3 M€, taux de 0,5 % à 1,5 % ; aucune exonération pour les MH (amendement rejeté). Défavorable : château non résidence principale. La valeur retenue est le prix d'achat du scénario (valeur vénale).</t>
        </is>
      </c>
      <c r="J13" s="2" t="inlineStr">
        <is>
          <t>Assurances, taxes, administration</t>
        </is>
      </c>
    </row>
    <row r="14">
      <c r="A14" s="2" t="inlineStr">
        <is>
          <t>taux_imprevus</t>
        </is>
      </c>
      <c r="B14" s="2" t="inlineStr">
        <is>
          <t>Imprévus d'exploitation, en % des charges de fonctionnement</t>
        </is>
      </c>
      <c r="C14" s="9" t="n">
        <v>0.02</v>
      </c>
      <c r="D14" s="9" t="n">
        <v>0.03</v>
      </c>
      <c r="E14" s="9" t="n">
        <v>0.05</v>
      </c>
      <c r="F14" s="2" t="inlineStr">
        <is>
          <t>%</t>
        </is>
      </c>
      <c r="G14" s="7" t="inlineStr">
        <is>
          <t>HYPOTHÈSE</t>
        </is>
      </c>
      <c r="H14" s="2" t="inlineStr"/>
      <c r="I14" s="8" t="inlineStr">
        <is>
          <t>Absences, pannes, hausses ponctuelles. Les gros sinistres non assurés sont simulés à part (Monte-Carlo).</t>
        </is>
      </c>
      <c r="J14" s="2" t="inlineStr">
        <is>
          <t>Assurances, taxes, administration</t>
        </is>
      </c>
    </row>
    <row r="15">
      <c r="A15" s="2" t="inlineStr">
        <is>
          <t>taux_invest_futurs</t>
        </is>
      </c>
      <c r="B15" s="2" t="inlineStr">
        <is>
          <t>Investissements futurs, en % des charges et provisions</t>
        </is>
      </c>
      <c r="C15" s="9" t="n">
        <v>0.02</v>
      </c>
      <c r="D15" s="9" t="n">
        <v>0.04</v>
      </c>
      <c r="E15" s="9" t="n">
        <v>0.06</v>
      </c>
      <c r="F15" s="2" t="inlineStr">
        <is>
          <t>%</t>
        </is>
      </c>
      <c r="G15" s="7" t="inlineStr">
        <is>
          <t>HYPOTHÈSE</t>
        </is>
      </c>
      <c r="H15" s="2" t="inlineStr"/>
      <c r="I15" s="8" t="inlineStr">
        <is>
          <t>Améliorations, mises aux normes, embellissements. Le brief exige de les financer.</t>
        </is>
      </c>
      <c r="J15" s="2" t="inlineStr">
        <is>
          <t>Assurances, taxes, administration</t>
        </is>
      </c>
    </row>
    <row r="16">
      <c r="A16" s="2" t="inlineStr">
        <is>
          <t>tf_chateau_m2</t>
        </is>
      </c>
      <c r="B16" s="2" t="inlineStr">
        <is>
          <t>Taxe foncière bâtie du château, par m² de plancher</t>
        </is>
      </c>
      <c r="C16" s="6" t="n">
        <v>3</v>
      </c>
      <c r="D16" s="6" t="n">
        <v>6</v>
      </c>
      <c r="E16" s="6" t="n">
        <v>10</v>
      </c>
      <c r="F16" s="2" t="inlineStr">
        <is>
          <t>€/m²/an</t>
        </is>
      </c>
      <c r="G16" s="7" t="inlineStr">
        <is>
          <t>HYPOTHÈSE</t>
        </is>
      </c>
      <c r="H16" s="2" t="inlineStr">
        <is>
          <t>R1-30; R1-31; R1-32</t>
        </is>
      </c>
      <c r="I16" s="8" t="inlineStr">
        <is>
          <t>Un seul repère : 2 652 € pour 512 m² habitables (≈ 5,2 €/m²). La taxe dépend de la catégorie cadastrale fixée en 1970 et du taux communal, pas de la surface.</t>
        </is>
      </c>
      <c r="J16" s="2" t="inlineStr">
        <is>
          <t>Assurances, taxes, administration</t>
        </is>
      </c>
    </row>
    <row r="17">
      <c r="A17" s="2" t="inlineStr">
        <is>
          <t>tf_dep_m2</t>
        </is>
      </c>
      <c r="B17" s="2" t="inlineStr">
        <is>
          <t>Taxe foncière bâtie des dépendances, par m²</t>
        </is>
      </c>
      <c r="C17" s="6" t="n">
        <v>1</v>
      </c>
      <c r="D17" s="6" t="n">
        <v>2</v>
      </c>
      <c r="E17" s="6" t="n">
        <v>3</v>
      </c>
      <c r="F17" s="2" t="inlineStr">
        <is>
          <t>€/m²/an</t>
        </is>
      </c>
      <c r="G17" s="7" t="inlineStr">
        <is>
          <t>HYPOTHÈSE</t>
        </is>
      </c>
      <c r="H17" s="2" t="inlineStr">
        <is>
          <t>R1</t>
        </is>
      </c>
      <c r="I17" s="8" t="inlineStr"/>
      <c r="J17" s="2" t="inlineStr">
        <is>
          <t>Assurances, taxes, administration</t>
        </is>
      </c>
    </row>
    <row r="18">
      <c r="A18" s="5" t="inlineStr">
        <is>
          <t>— Bâti —</t>
        </is>
      </c>
    </row>
    <row r="19">
      <c r="A19" s="2" t="inlineStr">
        <is>
          <t>S1_honoraires_patrimoine</t>
        </is>
      </c>
      <c r="B19" s="2" t="inlineStr">
        <is>
          <t>S1 — architecte du patrimoine : état sanitaire et suivi</t>
        </is>
      </c>
      <c r="C19" s="6" t="n">
        <v>0</v>
      </c>
      <c r="D19" s="6" t="n">
        <v>1500</v>
      </c>
      <c r="E19" s="6" t="n">
        <v>4000</v>
      </c>
      <c r="F19" s="2" t="inlineStr">
        <is>
          <t>€/an TTC</t>
        </is>
      </c>
      <c r="G19" s="7" t="inlineStr">
        <is>
          <t>HYPOTHÈSE</t>
        </is>
      </c>
      <c r="H19" s="2" t="inlineStr">
        <is>
          <t>R1-05</t>
        </is>
      </c>
      <c r="I19" s="8" t="inlineStr">
        <is>
          <t>Rapport d'état quinquennal annualisé (pratique britannique « quinquennial survey »).</t>
        </is>
      </c>
      <c r="J19" s="2" t="inlineStr">
        <is>
          <t>Bâti</t>
        </is>
      </c>
    </row>
    <row r="20">
      <c r="A20" s="2" t="inlineStr">
        <is>
          <t>S1_securite</t>
        </is>
      </c>
      <c r="B20" s="2" t="inlineStr">
        <is>
          <t>S1 — sécurité (télésurveillance, détection incendie, maintenance)</t>
        </is>
      </c>
      <c r="C20" s="6" t="n">
        <v>1500</v>
      </c>
      <c r="D20" s="6" t="n">
        <v>2500</v>
      </c>
      <c r="E20" s="6" t="n">
        <v>4000</v>
      </c>
      <c r="F20" s="2" t="inlineStr">
        <is>
          <t>€/an TTC</t>
        </is>
      </c>
      <c r="G20" s="7" t="inlineStr">
        <is>
          <t>HYPOTHÈSE</t>
        </is>
      </c>
      <c r="H20" s="2" t="inlineStr">
        <is>
          <t>R1-26</t>
        </is>
      </c>
      <c r="I20" s="8" t="inlineStr">
        <is>
          <t>Coûts introuvables (R1 § 8). Les courtiers recommandent ces dispositifs pour modérer la prime.</t>
        </is>
      </c>
      <c r="J20" s="2" t="inlineStr">
        <is>
          <t>Bâti</t>
        </is>
      </c>
    </row>
    <row r="21">
      <c r="A21" s="2" t="inlineStr">
        <is>
          <t>S1_vr_m2</t>
        </is>
      </c>
      <c r="B21" s="2" t="inlineStr">
        <is>
          <t>S1 — valeur de reconstruction à l'identique du château</t>
        </is>
      </c>
      <c r="C21" s="6" t="n">
        <v>2400</v>
      </c>
      <c r="D21" s="6" t="n">
        <v>3000</v>
      </c>
      <c r="E21" s="6" t="n">
        <v>4000</v>
      </c>
      <c r="F21" s="2" t="inlineStr">
        <is>
          <t>€/m²</t>
        </is>
      </c>
      <c r="G21" s="11" t="inlineStr">
        <is>
          <t>ESTIMATION</t>
        </is>
      </c>
      <c r="H21" s="2" t="inlineStr">
        <is>
          <t>R1-26; R1-27</t>
        </is>
      </c>
      <c r="I21" s="8" t="inlineStr">
        <is>
          <t>Bornes sourcées : 2 400 €/m² (exemple d'un courtier, Figaro 2020, surface développée) et 5 000-10 000 €/m² (courtier 2026, fiabilité faible). Château simple, non protégé ou inscrit : bas de la fourchette. Affectation par scénario = hypothèse.</t>
        </is>
      </c>
      <c r="J21" s="2" t="inlineStr">
        <is>
          <t>Bâti</t>
        </is>
      </c>
    </row>
    <row r="22">
      <c r="A22" s="2" t="inlineStr">
        <is>
          <t>S2_honoraires_patrimoine</t>
        </is>
      </c>
      <c r="B22" s="2" t="inlineStr">
        <is>
          <t>S2 — architecte du patrimoine : état sanitaire et suivi</t>
        </is>
      </c>
      <c r="C22" s="6" t="n">
        <v>3000</v>
      </c>
      <c r="D22" s="6" t="n">
        <v>6000</v>
      </c>
      <c r="E22" s="6" t="n">
        <v>10000</v>
      </c>
      <c r="F22" s="2" t="inlineStr">
        <is>
          <t>€/an TTC</t>
        </is>
      </c>
      <c r="G22" s="7" t="inlineStr">
        <is>
          <t>HYPOTHÈSE</t>
        </is>
      </c>
      <c r="H22" s="2" t="inlineStr">
        <is>
          <t>R1-05</t>
        </is>
      </c>
      <c r="I22" s="8" t="inlineStr"/>
      <c r="J22" s="2" t="inlineStr">
        <is>
          <t>Bâti</t>
        </is>
      </c>
    </row>
    <row r="23">
      <c r="A23" s="2" t="inlineStr">
        <is>
          <t>S2_securite</t>
        </is>
      </c>
      <c r="B23" s="2" t="inlineStr">
        <is>
          <t>S2 — sécurité</t>
        </is>
      </c>
      <c r="C23" s="6" t="n">
        <v>4000</v>
      </c>
      <c r="D23" s="6" t="n">
        <v>7000</v>
      </c>
      <c r="E23" s="6" t="n">
        <v>12000</v>
      </c>
      <c r="F23" s="2" t="inlineStr">
        <is>
          <t>€/an TTC</t>
        </is>
      </c>
      <c r="G23" s="7" t="inlineStr">
        <is>
          <t>HYPOTHÈSE</t>
        </is>
      </c>
      <c r="H23" s="2" t="inlineStr">
        <is>
          <t>R1-26</t>
        </is>
      </c>
      <c r="I23" s="8" t="inlineStr"/>
      <c r="J23" s="2" t="inlineStr">
        <is>
          <t>Bâti</t>
        </is>
      </c>
    </row>
    <row r="24">
      <c r="A24" s="2" t="inlineStr">
        <is>
          <t>S2_vr_m2</t>
        </is>
      </c>
      <c r="B24" s="2" t="inlineStr">
        <is>
          <t>S2 — valeur de reconstruction à l'identique du château</t>
        </is>
      </c>
      <c r="C24" s="6" t="n">
        <v>2800</v>
      </c>
      <c r="D24" s="13" t="n">
        <v>3700</v>
      </c>
      <c r="E24" s="6" t="n">
        <v>5000</v>
      </c>
      <c r="F24" s="2" t="inlineStr">
        <is>
          <t>€/m²</t>
        </is>
      </c>
      <c r="G24" s="11" t="inlineStr">
        <is>
          <t>ESTIMATION</t>
        </is>
      </c>
      <c r="H24" s="2" t="inlineStr">
        <is>
          <t>R1-26; R1-27</t>
        </is>
      </c>
      <c r="I24" s="8" t="inlineStr">
        <is>
          <t>Château inscrit : entre l'exemple de 2020 actualisé et le bas du barème du courtier de 2026.</t>
        </is>
      </c>
      <c r="J24" s="2" t="inlineStr">
        <is>
          <t>Bâti</t>
        </is>
      </c>
    </row>
    <row r="25">
      <c r="A25" s="2" t="inlineStr">
        <is>
          <t>S3_honoraires_patrimoine</t>
        </is>
      </c>
      <c r="B25" s="2" t="inlineStr">
        <is>
          <t>S3 — architecte du patrimoine : état sanitaire et suivi</t>
        </is>
      </c>
      <c r="C25" s="6" t="n">
        <v>8000</v>
      </c>
      <c r="D25" s="6" t="n">
        <v>15000</v>
      </c>
      <c r="E25" s="6" t="n">
        <v>25000</v>
      </c>
      <c r="F25" s="2" t="inlineStr">
        <is>
          <t>€/an TTC</t>
        </is>
      </c>
      <c r="G25" s="7" t="inlineStr">
        <is>
          <t>HYPOTHÈSE</t>
        </is>
      </c>
      <c r="H25" s="2" t="inlineStr">
        <is>
          <t>R1-05</t>
        </is>
      </c>
      <c r="I25" s="8" t="inlineStr"/>
      <c r="J25" s="2" t="inlineStr">
        <is>
          <t>Bâti</t>
        </is>
      </c>
    </row>
    <row r="26">
      <c r="A26" s="2" t="inlineStr">
        <is>
          <t>S3_securite</t>
        </is>
      </c>
      <c r="B26" s="2" t="inlineStr">
        <is>
          <t>S3 — sécurité (dont rondes et système incendie)</t>
        </is>
      </c>
      <c r="C26" s="6" t="n">
        <v>15000</v>
      </c>
      <c r="D26" s="6" t="n">
        <v>25000</v>
      </c>
      <c r="E26" s="6" t="n">
        <v>40000</v>
      </c>
      <c r="F26" s="2" t="inlineStr">
        <is>
          <t>€/an TTC</t>
        </is>
      </c>
      <c r="G26" s="7" t="inlineStr">
        <is>
          <t>HYPOTHÈSE</t>
        </is>
      </c>
      <c r="H26" s="2" t="inlineStr">
        <is>
          <t>R1-26</t>
        </is>
      </c>
      <c r="I26" s="8" t="inlineStr"/>
      <c r="J26" s="2" t="inlineStr">
        <is>
          <t>Bâti</t>
        </is>
      </c>
    </row>
    <row r="27">
      <c r="A27" s="2" t="inlineStr">
        <is>
          <t>S3_vr_m2</t>
        </is>
      </c>
      <c r="B27" s="2" t="inlineStr">
        <is>
          <t>S3 — valeur de reconstruction à l'identique du château</t>
        </is>
      </c>
      <c r="C27" s="6" t="n">
        <v>5000</v>
      </c>
      <c r="D27" s="6" t="n">
        <v>7000</v>
      </c>
      <c r="E27" s="6" t="n">
        <v>10000</v>
      </c>
      <c r="F27" s="2" t="inlineStr">
        <is>
          <t>€/m²</t>
        </is>
      </c>
      <c r="G27" s="11" t="inlineStr">
        <is>
          <t>ESTIMATION</t>
        </is>
      </c>
      <c r="H27" s="2" t="inlineStr">
        <is>
          <t>R1-27</t>
        </is>
      </c>
      <c r="I27" s="8" t="inlineStr">
        <is>
          <t>Château classé avec décors : fourchette du courtier (5 000 à 10 000 €/m²), fiabilité faible.</t>
        </is>
      </c>
      <c r="J27" s="2" t="inlineStr">
        <is>
          <t>Bâti</t>
        </is>
      </c>
    </row>
    <row r="28">
      <c r="A28" s="2" t="inlineStr">
        <is>
          <t>taux_aleas_travaux</t>
        </is>
      </c>
      <c r="B28" s="2" t="inlineStr">
        <is>
          <t>Aléas de chantier et découvertes, en % du gros entretien</t>
        </is>
      </c>
      <c r="C28" s="9" t="n">
        <v>0.1</v>
      </c>
      <c r="D28" s="9" t="n">
        <v>0.15</v>
      </c>
      <c r="E28" s="9" t="n">
        <v>0.2</v>
      </c>
      <c r="F28" s="2" t="inlineStr">
        <is>
          <t>% du gros entretien</t>
        </is>
      </c>
      <c r="G28" s="7" t="inlineStr">
        <is>
          <t>HYPOTHÈSE</t>
        </is>
      </c>
      <c r="H28" s="2" t="inlineStr">
        <is>
          <t>R1-05</t>
        </is>
      </c>
      <c r="I28" s="8" t="inlineStr">
        <is>
          <t>Dépassement observé de +29 % sur un chantier britannique (devis 42 k£, facture 54 k£).</t>
        </is>
      </c>
      <c r="J28" s="2" t="inlineStr">
        <is>
          <t>Bâti</t>
        </is>
      </c>
    </row>
    <row r="29">
      <c r="A29" s="2" t="inlineStr">
        <is>
          <t>taux_entretien_courant</t>
        </is>
      </c>
      <c r="B29" s="2" t="inlineStr">
        <is>
          <t>Entretien courant annuel, en % de la valeur de reconstruction</t>
        </is>
      </c>
      <c r="C29" s="9" t="n">
        <v>0.005</v>
      </c>
      <c r="D29" s="9" t="n">
        <v>0.0075</v>
      </c>
      <c r="E29" s="9" t="n">
        <v>0.01</v>
      </c>
      <c r="F29" s="2" t="inlineStr">
        <is>
          <t>% par an</t>
        </is>
      </c>
      <c r="G29" s="7" t="inlineStr">
        <is>
          <t>HYPOTHÈSE</t>
        </is>
      </c>
      <c r="H29" s="2" t="inlineStr">
        <is>
          <t>R1-07</t>
        </is>
      </c>
      <c r="I29" s="8" t="inlineStr">
        <is>
          <t>Part « courante » dans la règle globale de 2 à 4 %. La ventilation n'est pas sourcée (R1 § 9.1).</t>
        </is>
      </c>
      <c r="J29" s="2" t="inlineStr">
        <is>
          <t>Bâti</t>
        </is>
      </c>
    </row>
    <row r="30">
      <c r="A30" s="2" t="inlineStr">
        <is>
          <t>taux_gros_entretien</t>
        </is>
      </c>
      <c r="B30" s="2" t="inlineStr">
        <is>
          <t>Provision de gros entretien, en % de la valeur de reconstruction</t>
        </is>
      </c>
      <c r="C30" s="9" t="n">
        <v>0.015</v>
      </c>
      <c r="D30" s="10" t="n">
        <v>0.0225</v>
      </c>
      <c r="E30" s="9" t="n">
        <v>0.03</v>
      </c>
      <c r="F30" s="2" t="inlineStr">
        <is>
          <t>% par an</t>
        </is>
      </c>
      <c r="G30" s="11" t="inlineStr">
        <is>
          <t>ESTIMATION</t>
        </is>
      </c>
      <c r="H30" s="2" t="inlineStr">
        <is>
          <t>R1-07; R1-08; R1-05</t>
        </is>
      </c>
      <c r="I30" s="8" t="inlineStr">
        <is>
          <t>La règle du NRC (2 à 4 % de la valeur de remplacement pour l'entretien-réparation, « absolute minimum ») porte sur des bâtiments publics américains, transposition à valider. Recoupement : les maisons historiques britanniques dépensent ≈ 156-161 k£ TTC/an et accumulent pourtant ≈ 2 M£ de retard chacune (R1-05). Une dépense « normale » est donc insuffisante pour un état d'exception.</t>
        </is>
      </c>
      <c r="J30" s="2" t="inlineStr">
        <is>
          <t>Bâti</t>
        </is>
      </c>
    </row>
    <row r="31">
      <c r="A31" s="2" t="inlineStr">
        <is>
          <t>vr_dep_ratio</t>
        </is>
      </c>
      <c r="B31" s="2" t="inlineStr">
        <is>
          <t>Valeur de reconstruction des dépendances / celle du château (au m²)</t>
        </is>
      </c>
      <c r="C31" s="14" t="n">
        <v>0.4</v>
      </c>
      <c r="D31" s="14" t="n">
        <v>0.5</v>
      </c>
      <c r="E31" s="14" t="n">
        <v>0.6</v>
      </c>
      <c r="F31" s="2" t="inlineStr">
        <is>
          <t>ratio</t>
        </is>
      </c>
      <c r="G31" s="7" t="inlineStr">
        <is>
          <t>HYPOTHÈSE</t>
        </is>
      </c>
      <c r="H31" s="2" t="inlineStr">
        <is>
          <t>R1</t>
        </is>
      </c>
      <c r="I31" s="8" t="inlineStr">
        <is>
          <t>Écuries, granges et communs, de construction plus simple. Aucune source.</t>
        </is>
      </c>
      <c r="J31" s="2" t="inlineStr">
        <is>
          <t>Bâti</t>
        </is>
      </c>
    </row>
    <row r="32">
      <c r="A32" s="5" t="inlineStr">
        <is>
          <t>— Configuration des modèles —</t>
        </is>
      </c>
    </row>
    <row r="33">
      <c r="A33" s="2" t="inlineStr">
        <is>
          <t>cfg_M1_AUTO</t>
        </is>
      </c>
      <c r="B33" s="2" t="inlineStr">
        <is>
          <t>M1 — moteur AUTO retenu (1) ou non (0)</t>
        </is>
      </c>
      <c r="C33" s="14" t="n">
        <v>0</v>
      </c>
      <c r="D33" s="14" t="n">
        <v>0</v>
      </c>
      <c r="E33" s="14" t="n">
        <v>0</v>
      </c>
      <c r="F33" s="2" t="inlineStr">
        <is>
          <t>coefficient</t>
        </is>
      </c>
      <c r="G33" s="7" t="inlineStr">
        <is>
          <t>HYPOTHÈSE</t>
        </is>
      </c>
      <c r="H33" s="2" t="inlineStr"/>
      <c r="I33" s="8" t="inlineStr">
        <is>
          <t>M1 : Socle contractuel et équestre standard (résidence calme)</t>
        </is>
      </c>
      <c r="J33" s="2" t="inlineStr">
        <is>
          <t>Configuration des modèles</t>
        </is>
      </c>
    </row>
    <row r="34">
      <c r="A34" s="2" t="inlineStr">
        <is>
          <t>cfg_M1_BOIS</t>
        </is>
      </c>
      <c r="B34" s="2" t="inlineStr">
        <is>
          <t>M1 — moteur BOIS retenu (1) ou non (0)</t>
        </is>
      </c>
      <c r="C34" s="14" t="n">
        <v>1</v>
      </c>
      <c r="D34" s="14" t="n">
        <v>1</v>
      </c>
      <c r="E34" s="14" t="n">
        <v>1</v>
      </c>
      <c r="F34" s="2" t="inlineStr">
        <is>
          <t>coefficient</t>
        </is>
      </c>
      <c r="G34" s="7" t="inlineStr">
        <is>
          <t>HYPOTHÈSE</t>
        </is>
      </c>
      <c r="H34" s="2" t="inlineStr"/>
      <c r="I34" s="8" t="inlineStr">
        <is>
          <t>M1 : Socle contractuel et équestre standard (résidence calme)</t>
        </is>
      </c>
      <c r="J34" s="2" t="inlineStr">
        <is>
          <t>Configuration des modèles</t>
        </is>
      </c>
    </row>
    <row r="35">
      <c r="A35" s="2" t="inlineStr">
        <is>
          <t>cfg_M1_EQ_HDG</t>
        </is>
      </c>
      <c r="B35" s="2" t="inlineStr">
        <is>
          <t>M1 — moteur EQ_HDG retenu (1) ou non (0)</t>
        </is>
      </c>
      <c r="C35" s="14" t="n">
        <v>0</v>
      </c>
      <c r="D35" s="14" t="n">
        <v>0</v>
      </c>
      <c r="E35" s="14" t="n">
        <v>0</v>
      </c>
      <c r="F35" s="2" t="inlineStr">
        <is>
          <t>coefficient</t>
        </is>
      </c>
      <c r="G35" s="7" t="inlineStr">
        <is>
          <t>HYPOTHÈSE</t>
        </is>
      </c>
      <c r="H35" s="2" t="inlineStr"/>
      <c r="I35" s="8" t="inlineStr">
        <is>
          <t>M1 : Socle contractuel et équestre standard (résidence calme)</t>
        </is>
      </c>
      <c r="J35" s="2" t="inlineStr">
        <is>
          <t>Configuration des modèles</t>
        </is>
      </c>
    </row>
    <row r="36">
      <c r="A36" s="2" t="inlineStr">
        <is>
          <t>cfg_M1_EQ_PRO</t>
        </is>
      </c>
      <c r="B36" s="2" t="inlineStr">
        <is>
          <t>M1 — moteur EQ_PRO retenu (1) ou non (0)</t>
        </is>
      </c>
      <c r="C36" s="14" t="n">
        <v>0</v>
      </c>
      <c r="D36" s="14" t="n">
        <v>0</v>
      </c>
      <c r="E36" s="14" t="n">
        <v>0</v>
      </c>
      <c r="F36" s="2" t="inlineStr">
        <is>
          <t>coefficient</t>
        </is>
      </c>
      <c r="G36" s="7" t="inlineStr">
        <is>
          <t>HYPOTHÈSE</t>
        </is>
      </c>
      <c r="H36" s="2" t="inlineStr"/>
      <c r="I36" s="8" t="inlineStr">
        <is>
          <t>M1 : Socle contractuel et équestre standard (résidence calme)</t>
        </is>
      </c>
      <c r="J36" s="2" t="inlineStr">
        <is>
          <t>Configuration des modèles</t>
        </is>
      </c>
    </row>
    <row r="37">
      <c r="A37" s="2" t="inlineStr">
        <is>
          <t>cfg_M1_EQ_RET</t>
        </is>
      </c>
      <c r="B37" s="2" t="inlineStr">
        <is>
          <t>M1 — moteur EQ_RET retenu (1) ou non (0)</t>
        </is>
      </c>
      <c r="C37" s="14" t="n">
        <v>1</v>
      </c>
      <c r="D37" s="14" t="n">
        <v>1</v>
      </c>
      <c r="E37" s="14" t="n">
        <v>1</v>
      </c>
      <c r="F37" s="2" t="inlineStr">
        <is>
          <t>coefficient</t>
        </is>
      </c>
      <c r="G37" s="7" t="inlineStr">
        <is>
          <t>HYPOTHÈSE</t>
        </is>
      </c>
      <c r="H37" s="2" t="inlineStr"/>
      <c r="I37" s="8" t="inlineStr">
        <is>
          <t>M1 : Socle contractuel et équestre standard (résidence calme)</t>
        </is>
      </c>
      <c r="J37" s="2" t="inlineStr">
        <is>
          <t>Configuration des modèles</t>
        </is>
      </c>
    </row>
    <row r="38">
      <c r="A38" s="2" t="inlineStr">
        <is>
          <t>cfg_M1_EQ_STD</t>
        </is>
      </c>
      <c r="B38" s="2" t="inlineStr">
        <is>
          <t>M1 — moteur EQ_STD retenu (1) ou non (0)</t>
        </is>
      </c>
      <c r="C38" s="14" t="n">
        <v>1</v>
      </c>
      <c r="D38" s="14" t="n">
        <v>1</v>
      </c>
      <c r="E38" s="14" t="n">
        <v>1</v>
      </c>
      <c r="F38" s="2" t="inlineStr">
        <is>
          <t>coefficient</t>
        </is>
      </c>
      <c r="G38" s="7" t="inlineStr">
        <is>
          <t>HYPOTHÈSE</t>
        </is>
      </c>
      <c r="H38" s="2" t="inlineStr"/>
      <c r="I38" s="8" t="inlineStr">
        <is>
          <t>M1 : Socle contractuel et équestre standard (résidence calme)</t>
        </is>
      </c>
      <c r="J38" s="2" t="inlineStr">
        <is>
          <t>Configuration des modèles</t>
        </is>
      </c>
    </row>
    <row r="39">
      <c r="A39" s="2" t="inlineStr">
        <is>
          <t>cfg_M1_EVT</t>
        </is>
      </c>
      <c r="B39" s="2" t="inlineStr">
        <is>
          <t>M1 — moteur EVT retenu (1) ou non (0)</t>
        </is>
      </c>
      <c r="C39" s="14" t="n">
        <v>0</v>
      </c>
      <c r="D39" s="14" t="n">
        <v>0</v>
      </c>
      <c r="E39" s="14" t="n">
        <v>0</v>
      </c>
      <c r="F39" s="2" t="inlineStr">
        <is>
          <t>coefficient</t>
        </is>
      </c>
      <c r="G39" s="7" t="inlineStr">
        <is>
          <t>HYPOTHÈSE</t>
        </is>
      </c>
      <c r="H39" s="2" t="inlineStr"/>
      <c r="I39" s="8" t="inlineStr">
        <is>
          <t>M1 : Socle contractuel et équestre standard (résidence calme)</t>
        </is>
      </c>
      <c r="J39" s="2" t="inlineStr">
        <is>
          <t>Configuration des modèles</t>
        </is>
      </c>
    </row>
    <row r="40">
      <c r="A40" s="2" t="inlineStr">
        <is>
          <t>cfg_M1_GITE</t>
        </is>
      </c>
      <c r="B40" s="2" t="inlineStr">
        <is>
          <t>M1 — moteur GITE retenu (1) ou non (0)</t>
        </is>
      </c>
      <c r="C40" s="14" t="n">
        <v>0</v>
      </c>
      <c r="D40" s="14" t="n">
        <v>0</v>
      </c>
      <c r="E40" s="14" t="n">
        <v>0</v>
      </c>
      <c r="F40" s="2" t="inlineStr">
        <is>
          <t>coefficient</t>
        </is>
      </c>
      <c r="G40" s="7" t="inlineStr">
        <is>
          <t>HYPOTHÈSE</t>
        </is>
      </c>
      <c r="H40" s="2" t="inlineStr"/>
      <c r="I40" s="8" t="inlineStr">
        <is>
          <t>M1 : Socle contractuel et équestre standard (résidence calme)</t>
        </is>
      </c>
      <c r="J40" s="2" t="inlineStr">
        <is>
          <t>Configuration des modèles</t>
        </is>
      </c>
    </row>
    <row r="41">
      <c r="A41" s="2" t="inlineStr">
        <is>
          <t>cfg_M1_HOTEL</t>
        </is>
      </c>
      <c r="B41" s="2" t="inlineStr">
        <is>
          <t>M1 — moteur HOTEL retenu (1) ou non (0)</t>
        </is>
      </c>
      <c r="C41" s="14" t="n">
        <v>0</v>
      </c>
      <c r="D41" s="14" t="n">
        <v>0</v>
      </c>
      <c r="E41" s="14" t="n">
        <v>0</v>
      </c>
      <c r="F41" s="2" t="inlineStr">
        <is>
          <t>coefficient</t>
        </is>
      </c>
      <c r="G41" s="7" t="inlineStr">
        <is>
          <t>HYPOTHÈSE</t>
        </is>
      </c>
      <c r="H41" s="2" t="inlineStr"/>
      <c r="I41" s="8" t="inlineStr">
        <is>
          <t>M1 : Socle contractuel et équestre standard (résidence calme)</t>
        </is>
      </c>
      <c r="J41" s="2" t="inlineStr">
        <is>
          <t>Configuration des modèles</t>
        </is>
      </c>
    </row>
    <row r="42">
      <c r="A42" s="2" t="inlineStr">
        <is>
          <t>cfg_M1_LOG</t>
        </is>
      </c>
      <c r="B42" s="2" t="inlineStr">
        <is>
          <t>M1 — moteur LOG retenu (1) ou non (0)</t>
        </is>
      </c>
      <c r="C42" s="14" t="n">
        <v>1</v>
      </c>
      <c r="D42" s="14" t="n">
        <v>1</v>
      </c>
      <c r="E42" s="14" t="n">
        <v>1</v>
      </c>
      <c r="F42" s="2" t="inlineStr">
        <is>
          <t>coefficient</t>
        </is>
      </c>
      <c r="G42" s="7" t="inlineStr">
        <is>
          <t>HYPOTHÈSE</t>
        </is>
      </c>
      <c r="H42" s="2" t="inlineStr"/>
      <c r="I42" s="8" t="inlineStr">
        <is>
          <t>M1 : Socle contractuel et équestre standard (résidence calme)</t>
        </is>
      </c>
      <c r="J42" s="2" t="inlineStr">
        <is>
          <t>Configuration des modèles</t>
        </is>
      </c>
    </row>
    <row r="43">
      <c r="A43" s="2" t="inlineStr">
        <is>
          <t>cfg_M1_PV</t>
        </is>
      </c>
      <c r="B43" s="2" t="inlineStr">
        <is>
          <t>M1 — moteur PV retenu (1) ou non (0)</t>
        </is>
      </c>
      <c r="C43" s="14" t="n">
        <v>1</v>
      </c>
      <c r="D43" s="14" t="n">
        <v>1</v>
      </c>
      <c r="E43" s="14" t="n">
        <v>1</v>
      </c>
      <c r="F43" s="2" t="inlineStr">
        <is>
          <t>coefficient</t>
        </is>
      </c>
      <c r="G43" s="7" t="inlineStr">
        <is>
          <t>HYPOTHÈSE</t>
        </is>
      </c>
      <c r="H43" s="2" t="inlineStr"/>
      <c r="I43" s="8" t="inlineStr">
        <is>
          <t>M1 : Socle contractuel et équestre standard (résidence calme)</t>
        </is>
      </c>
      <c r="J43" s="2" t="inlineStr">
        <is>
          <t>Configuration des modèles</t>
        </is>
      </c>
    </row>
    <row r="44">
      <c r="A44" s="2" t="inlineStr">
        <is>
          <t>cfg_M1_REPRO</t>
        </is>
      </c>
      <c r="B44" s="2" t="inlineStr">
        <is>
          <t>M1 — moteur REPRO retenu (1) ou non (0)</t>
        </is>
      </c>
      <c r="C44" s="14" t="n">
        <v>0</v>
      </c>
      <c r="D44" s="14" t="n">
        <v>0</v>
      </c>
      <c r="E44" s="14" t="n">
        <v>0</v>
      </c>
      <c r="F44" s="2" t="inlineStr">
        <is>
          <t>coefficient</t>
        </is>
      </c>
      <c r="G44" s="7" t="inlineStr">
        <is>
          <t>HYPOTHÈSE</t>
        </is>
      </c>
      <c r="H44" s="2" t="inlineStr"/>
      <c r="I44" s="8" t="inlineStr">
        <is>
          <t>M1 : Socle contractuel et équestre standard (résidence calme)</t>
        </is>
      </c>
      <c r="J44" s="2" t="inlineStr">
        <is>
          <t>Configuration des modèles</t>
        </is>
      </c>
    </row>
    <row r="45">
      <c r="A45" s="2" t="inlineStr">
        <is>
          <t>cfg_M1_SEMJ</t>
        </is>
      </c>
      <c r="B45" s="2" t="inlineStr">
        <is>
          <t>M1 — moteur SEMJ retenu (1) ou non (0)</t>
        </is>
      </c>
      <c r="C45" s="14" t="n">
        <v>0</v>
      </c>
      <c r="D45" s="14" t="n">
        <v>0</v>
      </c>
      <c r="E45" s="14" t="n">
        <v>0</v>
      </c>
      <c r="F45" s="2" t="inlineStr">
        <is>
          <t>coefficient</t>
        </is>
      </c>
      <c r="G45" s="7" t="inlineStr">
        <is>
          <t>HYPOTHÈSE</t>
        </is>
      </c>
      <c r="H45" s="2" t="inlineStr"/>
      <c r="I45" s="8" t="inlineStr">
        <is>
          <t>M1 : Socle contractuel et équestre standard (résidence calme)</t>
        </is>
      </c>
      <c r="J45" s="2" t="inlineStr">
        <is>
          <t>Configuration des modèles</t>
        </is>
      </c>
    </row>
    <row r="46">
      <c r="A46" s="2" t="inlineStr">
        <is>
          <t>cfg_M1_STOCK</t>
        </is>
      </c>
      <c r="B46" s="2" t="inlineStr">
        <is>
          <t>M1 — moteur STOCK retenu (1) ou non (0)</t>
        </is>
      </c>
      <c r="C46" s="14" t="n">
        <v>1</v>
      </c>
      <c r="D46" s="14" t="n">
        <v>1</v>
      </c>
      <c r="E46" s="14" t="n">
        <v>1</v>
      </c>
      <c r="F46" s="2" t="inlineStr">
        <is>
          <t>coefficient</t>
        </is>
      </c>
      <c r="G46" s="7" t="inlineStr">
        <is>
          <t>HYPOTHÈSE</t>
        </is>
      </c>
      <c r="H46" s="2" t="inlineStr"/>
      <c r="I46" s="8" t="inlineStr">
        <is>
          <t>M1 : Socle contractuel et équestre standard (résidence calme)</t>
        </is>
      </c>
      <c r="J46" s="2" t="inlineStr">
        <is>
          <t>Configuration des modèles</t>
        </is>
      </c>
    </row>
    <row r="47">
      <c r="A47" s="2" t="inlineStr">
        <is>
          <t>cfg_M1_TOURN</t>
        </is>
      </c>
      <c r="B47" s="2" t="inlineStr">
        <is>
          <t>M1 — moteur TOURN retenu (1) ou non (0)</t>
        </is>
      </c>
      <c r="C47" s="14" t="n">
        <v>1</v>
      </c>
      <c r="D47" s="14" t="n">
        <v>1</v>
      </c>
      <c r="E47" s="14" t="n">
        <v>1</v>
      </c>
      <c r="F47" s="2" t="inlineStr">
        <is>
          <t>coefficient</t>
        </is>
      </c>
      <c r="G47" s="7" t="inlineStr">
        <is>
          <t>HYPOTHÈSE</t>
        </is>
      </c>
      <c r="H47" s="2" t="inlineStr"/>
      <c r="I47" s="8" t="inlineStr">
        <is>
          <t>M1 : Socle contractuel et équestre standard (résidence calme)</t>
        </is>
      </c>
      <c r="J47" s="2" t="inlineStr">
        <is>
          <t>Configuration des modèles</t>
        </is>
      </c>
    </row>
    <row r="48">
      <c r="A48" s="2" t="inlineStr">
        <is>
          <t>cfg_M2_AUTO</t>
        </is>
      </c>
      <c r="B48" s="2" t="inlineStr">
        <is>
          <t>M2 — moteur AUTO retenu (1) ou non (0)</t>
        </is>
      </c>
      <c r="C48" s="14" t="n">
        <v>0</v>
      </c>
      <c r="D48" s="14" t="n">
        <v>0</v>
      </c>
      <c r="E48" s="14" t="n">
        <v>0</v>
      </c>
      <c r="F48" s="2" t="inlineStr">
        <is>
          <t>coefficient</t>
        </is>
      </c>
      <c r="G48" s="7" t="inlineStr">
        <is>
          <t>HYPOTHÈSE</t>
        </is>
      </c>
      <c r="H48" s="2" t="inlineStr"/>
      <c r="I48" s="8" t="inlineStr">
        <is>
          <t>M2 : Lieu d'exception à quota (M1 + réceptions, séminaires, grande maison)</t>
        </is>
      </c>
      <c r="J48" s="2" t="inlineStr">
        <is>
          <t>Configuration des modèles</t>
        </is>
      </c>
    </row>
    <row r="49">
      <c r="A49" s="2" t="inlineStr">
        <is>
          <t>cfg_M2_BOIS</t>
        </is>
      </c>
      <c r="B49" s="2" t="inlineStr">
        <is>
          <t>M2 — moteur BOIS retenu (1) ou non (0)</t>
        </is>
      </c>
      <c r="C49" s="14" t="n">
        <v>1</v>
      </c>
      <c r="D49" s="14" t="n">
        <v>1</v>
      </c>
      <c r="E49" s="14" t="n">
        <v>1</v>
      </c>
      <c r="F49" s="2" t="inlineStr">
        <is>
          <t>coefficient</t>
        </is>
      </c>
      <c r="G49" s="7" t="inlineStr">
        <is>
          <t>HYPOTHÈSE</t>
        </is>
      </c>
      <c r="H49" s="2" t="inlineStr"/>
      <c r="I49" s="8" t="inlineStr">
        <is>
          <t>M2 : Lieu d'exception à quota (M1 + réceptions, séminaires, grande maison)</t>
        </is>
      </c>
      <c r="J49" s="2" t="inlineStr">
        <is>
          <t>Configuration des modèles</t>
        </is>
      </c>
    </row>
    <row r="50">
      <c r="A50" s="2" t="inlineStr">
        <is>
          <t>cfg_M2_EQ_HDG</t>
        </is>
      </c>
      <c r="B50" s="2" t="inlineStr">
        <is>
          <t>M2 — moteur EQ_HDG retenu (1) ou non (0)</t>
        </is>
      </c>
      <c r="C50" s="14" t="n">
        <v>0</v>
      </c>
      <c r="D50" s="14" t="n">
        <v>0</v>
      </c>
      <c r="E50" s="14" t="n">
        <v>0</v>
      </c>
      <c r="F50" s="2" t="inlineStr">
        <is>
          <t>coefficient</t>
        </is>
      </c>
      <c r="G50" s="7" t="inlineStr">
        <is>
          <t>HYPOTHÈSE</t>
        </is>
      </c>
      <c r="H50" s="2" t="inlineStr"/>
      <c r="I50" s="8" t="inlineStr">
        <is>
          <t>M2 : Lieu d'exception à quota (M1 + réceptions, séminaires, grande maison)</t>
        </is>
      </c>
      <c r="J50" s="2" t="inlineStr">
        <is>
          <t>Configuration des modèles</t>
        </is>
      </c>
    </row>
    <row r="51">
      <c r="A51" s="2" t="inlineStr">
        <is>
          <t>cfg_M2_EQ_PRO</t>
        </is>
      </c>
      <c r="B51" s="2" t="inlineStr">
        <is>
          <t>M2 — moteur EQ_PRO retenu (1) ou non (0)</t>
        </is>
      </c>
      <c r="C51" s="14" t="n">
        <v>0</v>
      </c>
      <c r="D51" s="14" t="n">
        <v>0</v>
      </c>
      <c r="E51" s="14" t="n">
        <v>0</v>
      </c>
      <c r="F51" s="2" t="inlineStr">
        <is>
          <t>coefficient</t>
        </is>
      </c>
      <c r="G51" s="7" t="inlineStr">
        <is>
          <t>HYPOTHÈSE</t>
        </is>
      </c>
      <c r="H51" s="2" t="inlineStr"/>
      <c r="I51" s="8" t="inlineStr">
        <is>
          <t>M2 : Lieu d'exception à quota (M1 + réceptions, séminaires, grande maison)</t>
        </is>
      </c>
      <c r="J51" s="2" t="inlineStr">
        <is>
          <t>Configuration des modèles</t>
        </is>
      </c>
    </row>
    <row r="52">
      <c r="A52" s="2" t="inlineStr">
        <is>
          <t>cfg_M2_EQ_RET</t>
        </is>
      </c>
      <c r="B52" s="2" t="inlineStr">
        <is>
          <t>M2 — moteur EQ_RET retenu (1) ou non (0)</t>
        </is>
      </c>
      <c r="C52" s="14" t="n">
        <v>1</v>
      </c>
      <c r="D52" s="14" t="n">
        <v>1</v>
      </c>
      <c r="E52" s="14" t="n">
        <v>1</v>
      </c>
      <c r="F52" s="2" t="inlineStr">
        <is>
          <t>coefficient</t>
        </is>
      </c>
      <c r="G52" s="7" t="inlineStr">
        <is>
          <t>HYPOTHÈSE</t>
        </is>
      </c>
      <c r="H52" s="2" t="inlineStr"/>
      <c r="I52" s="8" t="inlineStr">
        <is>
          <t>M2 : Lieu d'exception à quota (M1 + réceptions, séminaires, grande maison)</t>
        </is>
      </c>
      <c r="J52" s="2" t="inlineStr">
        <is>
          <t>Configuration des modèles</t>
        </is>
      </c>
    </row>
    <row r="53">
      <c r="A53" s="2" t="inlineStr">
        <is>
          <t>cfg_M2_EQ_STD</t>
        </is>
      </c>
      <c r="B53" s="2" t="inlineStr">
        <is>
          <t>M2 — moteur EQ_STD retenu (1) ou non (0)</t>
        </is>
      </c>
      <c r="C53" s="14" t="n">
        <v>1</v>
      </c>
      <c r="D53" s="14" t="n">
        <v>1</v>
      </c>
      <c r="E53" s="14" t="n">
        <v>1</v>
      </c>
      <c r="F53" s="2" t="inlineStr">
        <is>
          <t>coefficient</t>
        </is>
      </c>
      <c r="G53" s="7" t="inlineStr">
        <is>
          <t>HYPOTHÈSE</t>
        </is>
      </c>
      <c r="H53" s="2" t="inlineStr"/>
      <c r="I53" s="8" t="inlineStr">
        <is>
          <t>M2 : Lieu d'exception à quota (M1 + réceptions, séminaires, grande maison)</t>
        </is>
      </c>
      <c r="J53" s="2" t="inlineStr">
        <is>
          <t>Configuration des modèles</t>
        </is>
      </c>
    </row>
    <row r="54">
      <c r="A54" s="2" t="inlineStr">
        <is>
          <t>cfg_M2_EVT</t>
        </is>
      </c>
      <c r="B54" s="2" t="inlineStr">
        <is>
          <t>M2 — moteur EVT retenu (1) ou non (0)</t>
        </is>
      </c>
      <c r="C54" s="14" t="n">
        <v>1</v>
      </c>
      <c r="D54" s="14" t="n">
        <v>1</v>
      </c>
      <c r="E54" s="14" t="n">
        <v>1</v>
      </c>
      <c r="F54" s="2" t="inlineStr">
        <is>
          <t>coefficient</t>
        </is>
      </c>
      <c r="G54" s="7" t="inlineStr">
        <is>
          <t>HYPOTHÈSE</t>
        </is>
      </c>
      <c r="H54" s="2" t="inlineStr"/>
      <c r="I54" s="8" t="inlineStr">
        <is>
          <t>M2 : Lieu d'exception à quota (M1 + réceptions, séminaires, grande maison)</t>
        </is>
      </c>
      <c r="J54" s="2" t="inlineStr">
        <is>
          <t>Configuration des modèles</t>
        </is>
      </c>
    </row>
    <row r="55">
      <c r="A55" s="2" t="inlineStr">
        <is>
          <t>cfg_M2_GITE</t>
        </is>
      </c>
      <c r="B55" s="2" t="inlineStr">
        <is>
          <t>M2 — moteur GITE retenu (1) ou non (0)</t>
        </is>
      </c>
      <c r="C55" s="14" t="n">
        <v>1</v>
      </c>
      <c r="D55" s="14" t="n">
        <v>1</v>
      </c>
      <c r="E55" s="14" t="n">
        <v>1</v>
      </c>
      <c r="F55" s="2" t="inlineStr">
        <is>
          <t>coefficient</t>
        </is>
      </c>
      <c r="G55" s="7" t="inlineStr">
        <is>
          <t>HYPOTHÈSE</t>
        </is>
      </c>
      <c r="H55" s="2" t="inlineStr"/>
      <c r="I55" s="8" t="inlineStr">
        <is>
          <t>M2 : Lieu d'exception à quota (M1 + réceptions, séminaires, grande maison)</t>
        </is>
      </c>
      <c r="J55" s="2" t="inlineStr">
        <is>
          <t>Configuration des modèles</t>
        </is>
      </c>
    </row>
    <row r="56">
      <c r="A56" s="2" t="inlineStr">
        <is>
          <t>cfg_M2_HOTEL</t>
        </is>
      </c>
      <c r="B56" s="2" t="inlineStr">
        <is>
          <t>M2 — moteur HOTEL retenu (1) ou non (0)</t>
        </is>
      </c>
      <c r="C56" s="14" t="n">
        <v>0</v>
      </c>
      <c r="D56" s="14" t="n">
        <v>0</v>
      </c>
      <c r="E56" s="14" t="n">
        <v>0</v>
      </c>
      <c r="F56" s="2" t="inlineStr">
        <is>
          <t>coefficient</t>
        </is>
      </c>
      <c r="G56" s="7" t="inlineStr">
        <is>
          <t>HYPOTHÈSE</t>
        </is>
      </c>
      <c r="H56" s="2" t="inlineStr"/>
      <c r="I56" s="8" t="inlineStr">
        <is>
          <t>M2 : Lieu d'exception à quota (M1 + réceptions, séminaires, grande maison)</t>
        </is>
      </c>
      <c r="J56" s="2" t="inlineStr">
        <is>
          <t>Configuration des modèles</t>
        </is>
      </c>
    </row>
    <row r="57">
      <c r="A57" s="2" t="inlineStr">
        <is>
          <t>cfg_M2_LOG</t>
        </is>
      </c>
      <c r="B57" s="2" t="inlineStr">
        <is>
          <t>M2 — moteur LOG retenu (1) ou non (0)</t>
        </is>
      </c>
      <c r="C57" s="14" t="n">
        <v>1</v>
      </c>
      <c r="D57" s="14" t="n">
        <v>1</v>
      </c>
      <c r="E57" s="14" t="n">
        <v>1</v>
      </c>
      <c r="F57" s="2" t="inlineStr">
        <is>
          <t>coefficient</t>
        </is>
      </c>
      <c r="G57" s="7" t="inlineStr">
        <is>
          <t>HYPOTHÈSE</t>
        </is>
      </c>
      <c r="H57" s="2" t="inlineStr"/>
      <c r="I57" s="8" t="inlineStr">
        <is>
          <t>M2 : Lieu d'exception à quota (M1 + réceptions, séminaires, grande maison)</t>
        </is>
      </c>
      <c r="J57" s="2" t="inlineStr">
        <is>
          <t>Configuration des modèles</t>
        </is>
      </c>
    </row>
    <row r="58">
      <c r="A58" s="2" t="inlineStr">
        <is>
          <t>cfg_M2_PV</t>
        </is>
      </c>
      <c r="B58" s="2" t="inlineStr">
        <is>
          <t>M2 — moteur PV retenu (1) ou non (0)</t>
        </is>
      </c>
      <c r="C58" s="14" t="n">
        <v>1</v>
      </c>
      <c r="D58" s="14" t="n">
        <v>1</v>
      </c>
      <c r="E58" s="14" t="n">
        <v>1</v>
      </c>
      <c r="F58" s="2" t="inlineStr">
        <is>
          <t>coefficient</t>
        </is>
      </c>
      <c r="G58" s="7" t="inlineStr">
        <is>
          <t>HYPOTHÈSE</t>
        </is>
      </c>
      <c r="H58" s="2" t="inlineStr"/>
      <c r="I58" s="8" t="inlineStr">
        <is>
          <t>M2 : Lieu d'exception à quota (M1 + réceptions, séminaires, grande maison)</t>
        </is>
      </c>
      <c r="J58" s="2" t="inlineStr">
        <is>
          <t>Configuration des modèles</t>
        </is>
      </c>
    </row>
    <row r="59">
      <c r="A59" s="2" t="inlineStr">
        <is>
          <t>cfg_M2_REPRO</t>
        </is>
      </c>
      <c r="B59" s="2" t="inlineStr">
        <is>
          <t>M2 — moteur REPRO retenu (1) ou non (0)</t>
        </is>
      </c>
      <c r="C59" s="14" t="n">
        <v>0</v>
      </c>
      <c r="D59" s="14" t="n">
        <v>0</v>
      </c>
      <c r="E59" s="14" t="n">
        <v>0</v>
      </c>
      <c r="F59" s="2" t="inlineStr">
        <is>
          <t>coefficient</t>
        </is>
      </c>
      <c r="G59" s="7" t="inlineStr">
        <is>
          <t>HYPOTHÈSE</t>
        </is>
      </c>
      <c r="H59" s="2" t="inlineStr"/>
      <c r="I59" s="8" t="inlineStr">
        <is>
          <t>M2 : Lieu d'exception à quota (M1 + réceptions, séminaires, grande maison)</t>
        </is>
      </c>
      <c r="J59" s="2" t="inlineStr">
        <is>
          <t>Configuration des modèles</t>
        </is>
      </c>
    </row>
    <row r="60">
      <c r="A60" s="2" t="inlineStr">
        <is>
          <t>cfg_M2_SEMJ</t>
        </is>
      </c>
      <c r="B60" s="2" t="inlineStr">
        <is>
          <t>M2 — moteur SEMJ retenu (1) ou non (0)</t>
        </is>
      </c>
      <c r="C60" s="14" t="n">
        <v>1</v>
      </c>
      <c r="D60" s="14" t="n">
        <v>1</v>
      </c>
      <c r="E60" s="14" t="n">
        <v>1</v>
      </c>
      <c r="F60" s="2" t="inlineStr">
        <is>
          <t>coefficient</t>
        </is>
      </c>
      <c r="G60" s="7" t="inlineStr">
        <is>
          <t>HYPOTHÈSE</t>
        </is>
      </c>
      <c r="H60" s="2" t="inlineStr"/>
      <c r="I60" s="8" t="inlineStr">
        <is>
          <t>M2 : Lieu d'exception à quota (M1 + réceptions, séminaires, grande maison)</t>
        </is>
      </c>
      <c r="J60" s="2" t="inlineStr">
        <is>
          <t>Configuration des modèles</t>
        </is>
      </c>
    </row>
    <row r="61">
      <c r="A61" s="2" t="inlineStr">
        <is>
          <t>cfg_M2_STOCK</t>
        </is>
      </c>
      <c r="B61" s="2" t="inlineStr">
        <is>
          <t>M2 — moteur STOCK retenu (1) ou non (0)</t>
        </is>
      </c>
      <c r="C61" s="14" t="n">
        <v>1</v>
      </c>
      <c r="D61" s="14" t="n">
        <v>1</v>
      </c>
      <c r="E61" s="14" t="n">
        <v>1</v>
      </c>
      <c r="F61" s="2" t="inlineStr">
        <is>
          <t>coefficient</t>
        </is>
      </c>
      <c r="G61" s="7" t="inlineStr">
        <is>
          <t>HYPOTHÈSE</t>
        </is>
      </c>
      <c r="H61" s="2" t="inlineStr"/>
      <c r="I61" s="8" t="inlineStr">
        <is>
          <t>M2 : Lieu d'exception à quota (M1 + réceptions, séminaires, grande maison)</t>
        </is>
      </c>
      <c r="J61" s="2" t="inlineStr">
        <is>
          <t>Configuration des modèles</t>
        </is>
      </c>
    </row>
    <row r="62">
      <c r="A62" s="2" t="inlineStr">
        <is>
          <t>cfg_M2_TOURN</t>
        </is>
      </c>
      <c r="B62" s="2" t="inlineStr">
        <is>
          <t>M2 — moteur TOURN retenu (1) ou non (0)</t>
        </is>
      </c>
      <c r="C62" s="14" t="n">
        <v>1</v>
      </c>
      <c r="D62" s="14" t="n">
        <v>1</v>
      </c>
      <c r="E62" s="14" t="n">
        <v>1</v>
      </c>
      <c r="F62" s="2" t="inlineStr">
        <is>
          <t>coefficient</t>
        </is>
      </c>
      <c r="G62" s="7" t="inlineStr">
        <is>
          <t>HYPOTHÈSE</t>
        </is>
      </c>
      <c r="H62" s="2" t="inlineStr"/>
      <c r="I62" s="8" t="inlineStr">
        <is>
          <t>M2 : Lieu d'exception à quota (M1 + réceptions, séminaires, grande maison)</t>
        </is>
      </c>
      <c r="J62" s="2" t="inlineStr">
        <is>
          <t>Configuration des modèles</t>
        </is>
      </c>
    </row>
    <row r="63">
      <c r="A63" s="2" t="inlineStr">
        <is>
          <t>cfg_M3_AUTO</t>
        </is>
      </c>
      <c r="B63" s="2" t="inlineStr">
        <is>
          <t>M3 — moteur AUTO retenu (1) ou non (0)</t>
        </is>
      </c>
      <c r="C63" s="14" t="n">
        <v>0</v>
      </c>
      <c r="D63" s="14" t="n">
        <v>0</v>
      </c>
      <c r="E63" s="14" t="n">
        <v>0</v>
      </c>
      <c r="F63" s="2" t="inlineStr">
        <is>
          <t>coefficient</t>
        </is>
      </c>
      <c r="G63" s="7" t="inlineStr">
        <is>
          <t>HYPOTHÈSE</t>
        </is>
      </c>
      <c r="H63" s="2" t="inlineStr"/>
      <c r="I63" s="8" t="inlineStr">
        <is>
          <t>M3 : Équestre haut de gamme et services (pension, retraite, reproduction)</t>
        </is>
      </c>
      <c r="J63" s="2" t="inlineStr">
        <is>
          <t>Configuration des modèles</t>
        </is>
      </c>
    </row>
    <row r="64">
      <c r="A64" s="2" t="inlineStr">
        <is>
          <t>cfg_M3_BOIS</t>
        </is>
      </c>
      <c r="B64" s="2" t="inlineStr">
        <is>
          <t>M3 — moteur BOIS retenu (1) ou non (0)</t>
        </is>
      </c>
      <c r="C64" s="14" t="n">
        <v>1</v>
      </c>
      <c r="D64" s="14" t="n">
        <v>1</v>
      </c>
      <c r="E64" s="14" t="n">
        <v>1</v>
      </c>
      <c r="F64" s="2" t="inlineStr">
        <is>
          <t>coefficient</t>
        </is>
      </c>
      <c r="G64" s="7" t="inlineStr">
        <is>
          <t>HYPOTHÈSE</t>
        </is>
      </c>
      <c r="H64" s="2" t="inlineStr"/>
      <c r="I64" s="8" t="inlineStr">
        <is>
          <t>M3 : Équestre haut de gamme et services (pension, retraite, reproduction)</t>
        </is>
      </c>
      <c r="J64" s="2" t="inlineStr">
        <is>
          <t>Configuration des modèles</t>
        </is>
      </c>
    </row>
    <row r="65">
      <c r="A65" s="2" t="inlineStr">
        <is>
          <t>cfg_M3_EQ_HDG</t>
        </is>
      </c>
      <c r="B65" s="2" t="inlineStr">
        <is>
          <t>M3 — moteur EQ_HDG retenu (1) ou non (0)</t>
        </is>
      </c>
      <c r="C65" s="14" t="n">
        <v>1</v>
      </c>
      <c r="D65" s="14" t="n">
        <v>1</v>
      </c>
      <c r="E65" s="14" t="n">
        <v>1</v>
      </c>
      <c r="F65" s="2" t="inlineStr">
        <is>
          <t>coefficient</t>
        </is>
      </c>
      <c r="G65" s="7" t="inlineStr">
        <is>
          <t>HYPOTHÈSE</t>
        </is>
      </c>
      <c r="H65" s="2" t="inlineStr"/>
      <c r="I65" s="8" t="inlineStr">
        <is>
          <t>M3 : Équestre haut de gamme et services (pension, retraite, reproduction)</t>
        </is>
      </c>
      <c r="J65" s="2" t="inlineStr">
        <is>
          <t>Configuration des modèles</t>
        </is>
      </c>
    </row>
    <row r="66">
      <c r="A66" s="2" t="inlineStr">
        <is>
          <t>cfg_M3_EQ_PRO</t>
        </is>
      </c>
      <c r="B66" s="2" t="inlineStr">
        <is>
          <t>M3 — moteur EQ_PRO retenu (1) ou non (0)</t>
        </is>
      </c>
      <c r="C66" s="14" t="n">
        <v>0</v>
      </c>
      <c r="D66" s="14" t="n">
        <v>0</v>
      </c>
      <c r="E66" s="14" t="n">
        <v>0</v>
      </c>
      <c r="F66" s="2" t="inlineStr">
        <is>
          <t>coefficient</t>
        </is>
      </c>
      <c r="G66" s="7" t="inlineStr">
        <is>
          <t>HYPOTHÈSE</t>
        </is>
      </c>
      <c r="H66" s="2" t="inlineStr"/>
      <c r="I66" s="8" t="inlineStr">
        <is>
          <t>M3 : Équestre haut de gamme et services (pension, retraite, reproduction)</t>
        </is>
      </c>
      <c r="J66" s="2" t="inlineStr">
        <is>
          <t>Configuration des modèles</t>
        </is>
      </c>
    </row>
    <row r="67">
      <c r="A67" s="2" t="inlineStr">
        <is>
          <t>cfg_M3_EQ_RET</t>
        </is>
      </c>
      <c r="B67" s="2" t="inlineStr">
        <is>
          <t>M3 — moteur EQ_RET retenu (1) ou non (0)</t>
        </is>
      </c>
      <c r="C67" s="14" t="n">
        <v>1</v>
      </c>
      <c r="D67" s="14" t="n">
        <v>1</v>
      </c>
      <c r="E67" s="14" t="n">
        <v>1</v>
      </c>
      <c r="F67" s="2" t="inlineStr">
        <is>
          <t>coefficient</t>
        </is>
      </c>
      <c r="G67" s="7" t="inlineStr">
        <is>
          <t>HYPOTHÈSE</t>
        </is>
      </c>
      <c r="H67" s="2" t="inlineStr"/>
      <c r="I67" s="8" t="inlineStr">
        <is>
          <t>M3 : Équestre haut de gamme et services (pension, retraite, reproduction)</t>
        </is>
      </c>
      <c r="J67" s="2" t="inlineStr">
        <is>
          <t>Configuration des modèles</t>
        </is>
      </c>
    </row>
    <row r="68">
      <c r="A68" s="2" t="inlineStr">
        <is>
          <t>cfg_M3_EQ_STD</t>
        </is>
      </c>
      <c r="B68" s="2" t="inlineStr">
        <is>
          <t>M3 — moteur EQ_STD retenu (1) ou non (0)</t>
        </is>
      </c>
      <c r="C68" s="14" t="n">
        <v>0</v>
      </c>
      <c r="D68" s="14" t="n">
        <v>0</v>
      </c>
      <c r="E68" s="14" t="n">
        <v>0</v>
      </c>
      <c r="F68" s="2" t="inlineStr">
        <is>
          <t>coefficient</t>
        </is>
      </c>
      <c r="G68" s="7" t="inlineStr">
        <is>
          <t>HYPOTHÈSE</t>
        </is>
      </c>
      <c r="H68" s="2" t="inlineStr"/>
      <c r="I68" s="8" t="inlineStr">
        <is>
          <t>M3 : Équestre haut de gamme et services (pension, retraite, reproduction)</t>
        </is>
      </c>
      <c r="J68" s="2" t="inlineStr">
        <is>
          <t>Configuration des modèles</t>
        </is>
      </c>
    </row>
    <row r="69">
      <c r="A69" s="2" t="inlineStr">
        <is>
          <t>cfg_M3_EVT</t>
        </is>
      </c>
      <c r="B69" s="2" t="inlineStr">
        <is>
          <t>M3 — moteur EVT retenu (1) ou non (0)</t>
        </is>
      </c>
      <c r="C69" s="14" t="n">
        <v>0</v>
      </c>
      <c r="D69" s="14" t="n">
        <v>0</v>
      </c>
      <c r="E69" s="14" t="n">
        <v>0</v>
      </c>
      <c r="F69" s="2" t="inlineStr">
        <is>
          <t>coefficient</t>
        </is>
      </c>
      <c r="G69" s="7" t="inlineStr">
        <is>
          <t>HYPOTHÈSE</t>
        </is>
      </c>
      <c r="H69" s="2" t="inlineStr"/>
      <c r="I69" s="8" t="inlineStr">
        <is>
          <t>M3 : Équestre haut de gamme et services (pension, retraite, reproduction)</t>
        </is>
      </c>
      <c r="J69" s="2" t="inlineStr">
        <is>
          <t>Configuration des modèles</t>
        </is>
      </c>
    </row>
    <row r="70">
      <c r="A70" s="2" t="inlineStr">
        <is>
          <t>cfg_M3_GITE</t>
        </is>
      </c>
      <c r="B70" s="2" t="inlineStr">
        <is>
          <t>M3 — moteur GITE retenu (1) ou non (0)</t>
        </is>
      </c>
      <c r="C70" s="14" t="n">
        <v>0</v>
      </c>
      <c r="D70" s="14" t="n">
        <v>0</v>
      </c>
      <c r="E70" s="14" t="n">
        <v>0</v>
      </c>
      <c r="F70" s="2" t="inlineStr">
        <is>
          <t>coefficient</t>
        </is>
      </c>
      <c r="G70" s="7" t="inlineStr">
        <is>
          <t>HYPOTHÈSE</t>
        </is>
      </c>
      <c r="H70" s="2" t="inlineStr"/>
      <c r="I70" s="8" t="inlineStr">
        <is>
          <t>M3 : Équestre haut de gamme et services (pension, retraite, reproduction)</t>
        </is>
      </c>
      <c r="J70" s="2" t="inlineStr">
        <is>
          <t>Configuration des modèles</t>
        </is>
      </c>
    </row>
    <row r="71">
      <c r="A71" s="2" t="inlineStr">
        <is>
          <t>cfg_M3_HOTEL</t>
        </is>
      </c>
      <c r="B71" s="2" t="inlineStr">
        <is>
          <t>M3 — moteur HOTEL retenu (1) ou non (0)</t>
        </is>
      </c>
      <c r="C71" s="14" t="n">
        <v>0</v>
      </c>
      <c r="D71" s="14" t="n">
        <v>0</v>
      </c>
      <c r="E71" s="14" t="n">
        <v>0</v>
      </c>
      <c r="F71" s="2" t="inlineStr">
        <is>
          <t>coefficient</t>
        </is>
      </c>
      <c r="G71" s="7" t="inlineStr">
        <is>
          <t>HYPOTHÈSE</t>
        </is>
      </c>
      <c r="H71" s="2" t="inlineStr"/>
      <c r="I71" s="8" t="inlineStr">
        <is>
          <t>M3 : Équestre haut de gamme et services (pension, retraite, reproduction)</t>
        </is>
      </c>
      <c r="J71" s="2" t="inlineStr">
        <is>
          <t>Configuration des modèles</t>
        </is>
      </c>
    </row>
    <row r="72">
      <c r="A72" s="2" t="inlineStr">
        <is>
          <t>cfg_M3_LOG</t>
        </is>
      </c>
      <c r="B72" s="2" t="inlineStr">
        <is>
          <t>M3 — moteur LOG retenu (1) ou non (0)</t>
        </is>
      </c>
      <c r="C72" s="14" t="n">
        <v>0</v>
      </c>
      <c r="D72" s="14" t="n">
        <v>0</v>
      </c>
      <c r="E72" s="14" t="n">
        <v>0</v>
      </c>
      <c r="F72" s="2" t="inlineStr">
        <is>
          <t>coefficient</t>
        </is>
      </c>
      <c r="G72" s="7" t="inlineStr">
        <is>
          <t>HYPOTHÈSE</t>
        </is>
      </c>
      <c r="H72" s="2" t="inlineStr"/>
      <c r="I72" s="8" t="inlineStr">
        <is>
          <t>M3 : Équestre haut de gamme et services (pension, retraite, reproduction)</t>
        </is>
      </c>
      <c r="J72" s="2" t="inlineStr">
        <is>
          <t>Configuration des modèles</t>
        </is>
      </c>
    </row>
    <row r="73">
      <c r="A73" s="2" t="inlineStr">
        <is>
          <t>cfg_M3_PV</t>
        </is>
      </c>
      <c r="B73" s="2" t="inlineStr">
        <is>
          <t>M3 — moteur PV retenu (1) ou non (0)</t>
        </is>
      </c>
      <c r="C73" s="14" t="n">
        <v>0</v>
      </c>
      <c r="D73" s="14" t="n">
        <v>0</v>
      </c>
      <c r="E73" s="14" t="n">
        <v>0</v>
      </c>
      <c r="F73" s="2" t="inlineStr">
        <is>
          <t>coefficient</t>
        </is>
      </c>
      <c r="G73" s="7" t="inlineStr">
        <is>
          <t>HYPOTHÈSE</t>
        </is>
      </c>
      <c r="H73" s="2" t="inlineStr"/>
      <c r="I73" s="8" t="inlineStr">
        <is>
          <t>M3 : Équestre haut de gamme et services (pension, retraite, reproduction)</t>
        </is>
      </c>
      <c r="J73" s="2" t="inlineStr">
        <is>
          <t>Configuration des modèles</t>
        </is>
      </c>
    </row>
    <row r="74">
      <c r="A74" s="2" t="inlineStr">
        <is>
          <t>cfg_M3_REPRO</t>
        </is>
      </c>
      <c r="B74" s="2" t="inlineStr">
        <is>
          <t>M3 — moteur REPRO retenu (1) ou non (0)</t>
        </is>
      </c>
      <c r="C74" s="14" t="n">
        <v>1</v>
      </c>
      <c r="D74" s="14" t="n">
        <v>1</v>
      </c>
      <c r="E74" s="14" t="n">
        <v>1</v>
      </c>
      <c r="F74" s="2" t="inlineStr">
        <is>
          <t>coefficient</t>
        </is>
      </c>
      <c r="G74" s="7" t="inlineStr">
        <is>
          <t>HYPOTHÈSE</t>
        </is>
      </c>
      <c r="H74" s="2" t="inlineStr"/>
      <c r="I74" s="8" t="inlineStr">
        <is>
          <t>M3 : Équestre haut de gamme et services (pension, retraite, reproduction)</t>
        </is>
      </c>
      <c r="J74" s="2" t="inlineStr">
        <is>
          <t>Configuration des modèles</t>
        </is>
      </c>
    </row>
    <row r="75">
      <c r="A75" s="2" t="inlineStr">
        <is>
          <t>cfg_M3_SEMJ</t>
        </is>
      </c>
      <c r="B75" s="2" t="inlineStr">
        <is>
          <t>M3 — moteur SEMJ retenu (1) ou non (0)</t>
        </is>
      </c>
      <c r="C75" s="14" t="n">
        <v>0</v>
      </c>
      <c r="D75" s="14" t="n">
        <v>0</v>
      </c>
      <c r="E75" s="14" t="n">
        <v>0</v>
      </c>
      <c r="F75" s="2" t="inlineStr">
        <is>
          <t>coefficient</t>
        </is>
      </c>
      <c r="G75" s="7" t="inlineStr">
        <is>
          <t>HYPOTHÈSE</t>
        </is>
      </c>
      <c r="H75" s="2" t="inlineStr"/>
      <c r="I75" s="8" t="inlineStr">
        <is>
          <t>M3 : Équestre haut de gamme et services (pension, retraite, reproduction)</t>
        </is>
      </c>
      <c r="J75" s="2" t="inlineStr">
        <is>
          <t>Configuration des modèles</t>
        </is>
      </c>
    </row>
    <row r="76">
      <c r="A76" s="2" t="inlineStr">
        <is>
          <t>cfg_M3_STOCK</t>
        </is>
      </c>
      <c r="B76" s="2" t="inlineStr">
        <is>
          <t>M3 — moteur STOCK retenu (1) ou non (0)</t>
        </is>
      </c>
      <c r="C76" s="14" t="n">
        <v>0</v>
      </c>
      <c r="D76" s="14" t="n">
        <v>0</v>
      </c>
      <c r="E76" s="14" t="n">
        <v>0</v>
      </c>
      <c r="F76" s="2" t="inlineStr">
        <is>
          <t>coefficient</t>
        </is>
      </c>
      <c r="G76" s="7" t="inlineStr">
        <is>
          <t>HYPOTHÈSE</t>
        </is>
      </c>
      <c r="H76" s="2" t="inlineStr"/>
      <c r="I76" s="8" t="inlineStr">
        <is>
          <t>M3 : Équestre haut de gamme et services (pension, retraite, reproduction)</t>
        </is>
      </c>
      <c r="J76" s="2" t="inlineStr">
        <is>
          <t>Configuration des modèles</t>
        </is>
      </c>
    </row>
    <row r="77">
      <c r="A77" s="2" t="inlineStr">
        <is>
          <t>cfg_M3_TOURN</t>
        </is>
      </c>
      <c r="B77" s="2" t="inlineStr">
        <is>
          <t>M3 — moteur TOURN retenu (1) ou non (0)</t>
        </is>
      </c>
      <c r="C77" s="14" t="n">
        <v>1</v>
      </c>
      <c r="D77" s="14" t="n">
        <v>1</v>
      </c>
      <c r="E77" s="14" t="n">
        <v>1</v>
      </c>
      <c r="F77" s="2" t="inlineStr">
        <is>
          <t>coefficient</t>
        </is>
      </c>
      <c r="G77" s="7" t="inlineStr">
        <is>
          <t>HYPOTHÈSE</t>
        </is>
      </c>
      <c r="H77" s="2" t="inlineStr"/>
      <c r="I77" s="8" t="inlineStr">
        <is>
          <t>M3 : Équestre haut de gamme et services (pension, retraite, reproduction)</t>
        </is>
      </c>
      <c r="J77" s="2" t="inlineStr">
        <is>
          <t>Configuration des modèles</t>
        </is>
      </c>
    </row>
    <row r="78">
      <c r="A78" s="2" t="inlineStr">
        <is>
          <t>cfg_M4_AUTO</t>
        </is>
      </c>
      <c r="B78" s="2" t="inlineStr">
        <is>
          <t>M4 — moteur AUTO retenu (1) ou non (0)</t>
        </is>
      </c>
      <c r="C78" s="14" t="n">
        <v>0</v>
      </c>
      <c r="D78" s="14" t="n">
        <v>0</v>
      </c>
      <c r="E78" s="14" t="n">
        <v>0</v>
      </c>
      <c r="F78" s="2" t="inlineStr">
        <is>
          <t>coefficient</t>
        </is>
      </c>
      <c r="G78" s="7" t="inlineStr">
        <is>
          <t>HYPOTHÈSE</t>
        </is>
      </c>
      <c r="H78" s="2" t="inlineStr"/>
      <c r="I78" s="8" t="inlineStr">
        <is>
          <t>M4 : Château-hôtel opéré (15 chambres) + réceptions et séminaires</t>
        </is>
      </c>
      <c r="J78" s="2" t="inlineStr">
        <is>
          <t>Configuration des modèles</t>
        </is>
      </c>
    </row>
    <row r="79">
      <c r="A79" s="2" t="inlineStr">
        <is>
          <t>cfg_M4_BOIS</t>
        </is>
      </c>
      <c r="B79" s="2" t="inlineStr">
        <is>
          <t>M4 — moteur BOIS retenu (1) ou non (0)</t>
        </is>
      </c>
      <c r="C79" s="14" t="n">
        <v>1</v>
      </c>
      <c r="D79" s="14" t="n">
        <v>1</v>
      </c>
      <c r="E79" s="14" t="n">
        <v>1</v>
      </c>
      <c r="F79" s="2" t="inlineStr">
        <is>
          <t>coefficient</t>
        </is>
      </c>
      <c r="G79" s="7" t="inlineStr">
        <is>
          <t>HYPOTHÈSE</t>
        </is>
      </c>
      <c r="H79" s="2" t="inlineStr"/>
      <c r="I79" s="8" t="inlineStr">
        <is>
          <t>M4 : Château-hôtel opéré (15 chambres) + réceptions et séminaires</t>
        </is>
      </c>
      <c r="J79" s="2" t="inlineStr">
        <is>
          <t>Configuration des modèles</t>
        </is>
      </c>
    </row>
    <row r="80">
      <c r="A80" s="2" t="inlineStr">
        <is>
          <t>cfg_M4_EQ_HDG</t>
        </is>
      </c>
      <c r="B80" s="2" t="inlineStr">
        <is>
          <t>M4 — moteur EQ_HDG retenu (1) ou non (0)</t>
        </is>
      </c>
      <c r="C80" s="14" t="n">
        <v>0</v>
      </c>
      <c r="D80" s="14" t="n">
        <v>0</v>
      </c>
      <c r="E80" s="14" t="n">
        <v>0</v>
      </c>
      <c r="F80" s="2" t="inlineStr">
        <is>
          <t>coefficient</t>
        </is>
      </c>
      <c r="G80" s="7" t="inlineStr">
        <is>
          <t>HYPOTHÈSE</t>
        </is>
      </c>
      <c r="H80" s="2" t="inlineStr"/>
      <c r="I80" s="8" t="inlineStr">
        <is>
          <t>M4 : Château-hôtel opéré (15 chambres) + réceptions et séminaires</t>
        </is>
      </c>
      <c r="J80" s="2" t="inlineStr">
        <is>
          <t>Configuration des modèles</t>
        </is>
      </c>
    </row>
    <row r="81">
      <c r="A81" s="2" t="inlineStr">
        <is>
          <t>cfg_M4_EQ_PRO</t>
        </is>
      </c>
      <c r="B81" s="2" t="inlineStr">
        <is>
          <t>M4 — moteur EQ_PRO retenu (1) ou non (0)</t>
        </is>
      </c>
      <c r="C81" s="14" t="n">
        <v>0</v>
      </c>
      <c r="D81" s="14" t="n">
        <v>0</v>
      </c>
      <c r="E81" s="14" t="n">
        <v>0</v>
      </c>
      <c r="F81" s="2" t="inlineStr">
        <is>
          <t>coefficient</t>
        </is>
      </c>
      <c r="G81" s="7" t="inlineStr">
        <is>
          <t>HYPOTHÈSE</t>
        </is>
      </c>
      <c r="H81" s="2" t="inlineStr"/>
      <c r="I81" s="8" t="inlineStr">
        <is>
          <t>M4 : Château-hôtel opéré (15 chambres) + réceptions et séminaires</t>
        </is>
      </c>
      <c r="J81" s="2" t="inlineStr">
        <is>
          <t>Configuration des modèles</t>
        </is>
      </c>
    </row>
    <row r="82">
      <c r="A82" s="2" t="inlineStr">
        <is>
          <t>cfg_M4_EQ_RET</t>
        </is>
      </c>
      <c r="B82" s="2" t="inlineStr">
        <is>
          <t>M4 — moteur EQ_RET retenu (1) ou non (0)</t>
        </is>
      </c>
      <c r="C82" s="14" t="n">
        <v>0</v>
      </c>
      <c r="D82" s="14" t="n">
        <v>0</v>
      </c>
      <c r="E82" s="14" t="n">
        <v>0</v>
      </c>
      <c r="F82" s="2" t="inlineStr">
        <is>
          <t>coefficient</t>
        </is>
      </c>
      <c r="G82" s="7" t="inlineStr">
        <is>
          <t>HYPOTHÈSE</t>
        </is>
      </c>
      <c r="H82" s="2" t="inlineStr"/>
      <c r="I82" s="8" t="inlineStr">
        <is>
          <t>M4 : Château-hôtel opéré (15 chambres) + réceptions et séminaires</t>
        </is>
      </c>
      <c r="J82" s="2" t="inlineStr">
        <is>
          <t>Configuration des modèles</t>
        </is>
      </c>
    </row>
    <row r="83">
      <c r="A83" s="2" t="inlineStr">
        <is>
          <t>cfg_M4_EQ_STD</t>
        </is>
      </c>
      <c r="B83" s="2" t="inlineStr">
        <is>
          <t>M4 — moteur EQ_STD retenu (1) ou non (0)</t>
        </is>
      </c>
      <c r="C83" s="14" t="n">
        <v>1</v>
      </c>
      <c r="D83" s="14" t="n">
        <v>1</v>
      </c>
      <c r="E83" s="14" t="n">
        <v>1</v>
      </c>
      <c r="F83" s="2" t="inlineStr">
        <is>
          <t>coefficient</t>
        </is>
      </c>
      <c r="G83" s="7" t="inlineStr">
        <is>
          <t>HYPOTHÈSE</t>
        </is>
      </c>
      <c r="H83" s="2" t="inlineStr"/>
      <c r="I83" s="8" t="inlineStr">
        <is>
          <t>M4 : Château-hôtel opéré (15 chambres) + réceptions et séminaires</t>
        </is>
      </c>
      <c r="J83" s="2" t="inlineStr">
        <is>
          <t>Configuration des modèles</t>
        </is>
      </c>
    </row>
    <row r="84">
      <c r="A84" s="2" t="inlineStr">
        <is>
          <t>cfg_M4_EVT</t>
        </is>
      </c>
      <c r="B84" s="2" t="inlineStr">
        <is>
          <t>M4 — moteur EVT retenu (1) ou non (0)</t>
        </is>
      </c>
      <c r="C84" s="14" t="n">
        <v>1</v>
      </c>
      <c r="D84" s="14" t="n">
        <v>1</v>
      </c>
      <c r="E84" s="14" t="n">
        <v>1</v>
      </c>
      <c r="F84" s="2" t="inlineStr">
        <is>
          <t>coefficient</t>
        </is>
      </c>
      <c r="G84" s="7" t="inlineStr">
        <is>
          <t>HYPOTHÈSE</t>
        </is>
      </c>
      <c r="H84" s="2" t="inlineStr"/>
      <c r="I84" s="8" t="inlineStr">
        <is>
          <t>M4 : Château-hôtel opéré (15 chambres) + réceptions et séminaires</t>
        </is>
      </c>
      <c r="J84" s="2" t="inlineStr">
        <is>
          <t>Configuration des modèles</t>
        </is>
      </c>
    </row>
    <row r="85">
      <c r="A85" s="2" t="inlineStr">
        <is>
          <t>cfg_M4_GITE</t>
        </is>
      </c>
      <c r="B85" s="2" t="inlineStr">
        <is>
          <t>M4 — moteur GITE retenu (1) ou non (0)</t>
        </is>
      </c>
      <c r="C85" s="14" t="n">
        <v>0</v>
      </c>
      <c r="D85" s="14" t="n">
        <v>0</v>
      </c>
      <c r="E85" s="14" t="n">
        <v>0</v>
      </c>
      <c r="F85" s="2" t="inlineStr">
        <is>
          <t>coefficient</t>
        </is>
      </c>
      <c r="G85" s="7" t="inlineStr">
        <is>
          <t>HYPOTHÈSE</t>
        </is>
      </c>
      <c r="H85" s="2" t="inlineStr"/>
      <c r="I85" s="8" t="inlineStr">
        <is>
          <t>M4 : Château-hôtel opéré (15 chambres) + réceptions et séminaires</t>
        </is>
      </c>
      <c r="J85" s="2" t="inlineStr">
        <is>
          <t>Configuration des modèles</t>
        </is>
      </c>
    </row>
    <row r="86">
      <c r="A86" s="2" t="inlineStr">
        <is>
          <t>cfg_M4_HOTEL</t>
        </is>
      </c>
      <c r="B86" s="2" t="inlineStr">
        <is>
          <t>M4 — moteur HOTEL retenu (1) ou non (0)</t>
        </is>
      </c>
      <c r="C86" s="14" t="n">
        <v>1</v>
      </c>
      <c r="D86" s="14" t="n">
        <v>1</v>
      </c>
      <c r="E86" s="14" t="n">
        <v>1</v>
      </c>
      <c r="F86" s="2" t="inlineStr">
        <is>
          <t>coefficient</t>
        </is>
      </c>
      <c r="G86" s="7" t="inlineStr">
        <is>
          <t>HYPOTHÈSE</t>
        </is>
      </c>
      <c r="H86" s="2" t="inlineStr"/>
      <c r="I86" s="8" t="inlineStr">
        <is>
          <t>M4 : Château-hôtel opéré (15 chambres) + réceptions et séminaires</t>
        </is>
      </c>
      <c r="J86" s="2" t="inlineStr">
        <is>
          <t>Configuration des modèles</t>
        </is>
      </c>
    </row>
    <row r="87">
      <c r="A87" s="2" t="inlineStr">
        <is>
          <t>cfg_M4_LOG</t>
        </is>
      </c>
      <c r="B87" s="2" t="inlineStr">
        <is>
          <t>M4 — moteur LOG retenu (1) ou non (0)</t>
        </is>
      </c>
      <c r="C87" s="14" t="n">
        <v>0</v>
      </c>
      <c r="D87" s="14" t="n">
        <v>0</v>
      </c>
      <c r="E87" s="14" t="n">
        <v>0</v>
      </c>
      <c r="F87" s="2" t="inlineStr">
        <is>
          <t>coefficient</t>
        </is>
      </c>
      <c r="G87" s="7" t="inlineStr">
        <is>
          <t>HYPOTHÈSE</t>
        </is>
      </c>
      <c r="H87" s="2" t="inlineStr"/>
      <c r="I87" s="8" t="inlineStr">
        <is>
          <t>M4 : Château-hôtel opéré (15 chambres) + réceptions et séminaires</t>
        </is>
      </c>
      <c r="J87" s="2" t="inlineStr">
        <is>
          <t>Configuration des modèles</t>
        </is>
      </c>
    </row>
    <row r="88">
      <c r="A88" s="2" t="inlineStr">
        <is>
          <t>cfg_M4_PV</t>
        </is>
      </c>
      <c r="B88" s="2" t="inlineStr">
        <is>
          <t>M4 — moteur PV retenu (1) ou non (0)</t>
        </is>
      </c>
      <c r="C88" s="14" t="n">
        <v>0</v>
      </c>
      <c r="D88" s="14" t="n">
        <v>0</v>
      </c>
      <c r="E88" s="14" t="n">
        <v>0</v>
      </c>
      <c r="F88" s="2" t="inlineStr">
        <is>
          <t>coefficient</t>
        </is>
      </c>
      <c r="G88" s="7" t="inlineStr">
        <is>
          <t>HYPOTHÈSE</t>
        </is>
      </c>
      <c r="H88" s="2" t="inlineStr"/>
      <c r="I88" s="8" t="inlineStr">
        <is>
          <t>M4 : Château-hôtel opéré (15 chambres) + réceptions et séminaires</t>
        </is>
      </c>
      <c r="J88" s="2" t="inlineStr">
        <is>
          <t>Configuration des modèles</t>
        </is>
      </c>
    </row>
    <row r="89">
      <c r="A89" s="2" t="inlineStr">
        <is>
          <t>cfg_M4_REPRO</t>
        </is>
      </c>
      <c r="B89" s="2" t="inlineStr">
        <is>
          <t>M4 — moteur REPRO retenu (1) ou non (0)</t>
        </is>
      </c>
      <c r="C89" s="14" t="n">
        <v>0</v>
      </c>
      <c r="D89" s="14" t="n">
        <v>0</v>
      </c>
      <c r="E89" s="14" t="n">
        <v>0</v>
      </c>
      <c r="F89" s="2" t="inlineStr">
        <is>
          <t>coefficient</t>
        </is>
      </c>
      <c r="G89" s="7" t="inlineStr">
        <is>
          <t>HYPOTHÈSE</t>
        </is>
      </c>
      <c r="H89" s="2" t="inlineStr"/>
      <c r="I89" s="8" t="inlineStr">
        <is>
          <t>M4 : Château-hôtel opéré (15 chambres) + réceptions et séminaires</t>
        </is>
      </c>
      <c r="J89" s="2" t="inlineStr">
        <is>
          <t>Configuration des modèles</t>
        </is>
      </c>
    </row>
    <row r="90">
      <c r="A90" s="2" t="inlineStr">
        <is>
          <t>cfg_M4_SEMJ</t>
        </is>
      </c>
      <c r="B90" s="2" t="inlineStr">
        <is>
          <t>M4 — moteur SEMJ retenu (1) ou non (0)</t>
        </is>
      </c>
      <c r="C90" s="14" t="n">
        <v>1</v>
      </c>
      <c r="D90" s="14" t="n">
        <v>1</v>
      </c>
      <c r="E90" s="14" t="n">
        <v>1</v>
      </c>
      <c r="F90" s="2" t="inlineStr">
        <is>
          <t>coefficient</t>
        </is>
      </c>
      <c r="G90" s="7" t="inlineStr">
        <is>
          <t>HYPOTHÈSE</t>
        </is>
      </c>
      <c r="H90" s="2" t="inlineStr"/>
      <c r="I90" s="8" t="inlineStr">
        <is>
          <t>M4 : Château-hôtel opéré (15 chambres) + réceptions et séminaires</t>
        </is>
      </c>
      <c r="J90" s="2" t="inlineStr">
        <is>
          <t>Configuration des modèles</t>
        </is>
      </c>
    </row>
    <row r="91">
      <c r="A91" s="2" t="inlineStr">
        <is>
          <t>cfg_M4_STOCK</t>
        </is>
      </c>
      <c r="B91" s="2" t="inlineStr">
        <is>
          <t>M4 — moteur STOCK retenu (1) ou non (0)</t>
        </is>
      </c>
      <c r="C91" s="14" t="n">
        <v>0</v>
      </c>
      <c r="D91" s="14" t="n">
        <v>0</v>
      </c>
      <c r="E91" s="14" t="n">
        <v>0</v>
      </c>
      <c r="F91" s="2" t="inlineStr">
        <is>
          <t>coefficient</t>
        </is>
      </c>
      <c r="G91" s="7" t="inlineStr">
        <is>
          <t>HYPOTHÈSE</t>
        </is>
      </c>
      <c r="H91" s="2" t="inlineStr"/>
      <c r="I91" s="8" t="inlineStr">
        <is>
          <t>M4 : Château-hôtel opéré (15 chambres) + réceptions et séminaires</t>
        </is>
      </c>
      <c r="J91" s="2" t="inlineStr">
        <is>
          <t>Configuration des modèles</t>
        </is>
      </c>
    </row>
    <row r="92">
      <c r="A92" s="2" t="inlineStr">
        <is>
          <t>cfg_M4_TOURN</t>
        </is>
      </c>
      <c r="B92" s="2" t="inlineStr">
        <is>
          <t>M4 — moteur TOURN retenu (1) ou non (0)</t>
        </is>
      </c>
      <c r="C92" s="14" t="n">
        <v>1</v>
      </c>
      <c r="D92" s="14" t="n">
        <v>1</v>
      </c>
      <c r="E92" s="14" t="n">
        <v>1</v>
      </c>
      <c r="F92" s="2" t="inlineStr">
        <is>
          <t>coefficient</t>
        </is>
      </c>
      <c r="G92" s="7" t="inlineStr">
        <is>
          <t>HYPOTHÈSE</t>
        </is>
      </c>
      <c r="H92" s="2" t="inlineStr"/>
      <c r="I92" s="8" t="inlineStr">
        <is>
          <t>M4 : Château-hôtel opéré (15 chambres) + réceptions et séminaires</t>
        </is>
      </c>
      <c r="J92" s="2" t="inlineStr">
        <is>
          <t>Configuration des modèles</t>
        </is>
      </c>
    </row>
    <row r="93">
      <c r="A93" s="2" t="inlineStr">
        <is>
          <t>cfg_M5_AUTO</t>
        </is>
      </c>
      <c r="B93" s="2" t="inlineStr">
        <is>
          <t>M5 — moteur AUTO retenu (1) ou non (0)</t>
        </is>
      </c>
      <c r="C93" s="14" t="n">
        <v>0</v>
      </c>
      <c r="D93" s="14" t="n">
        <v>0</v>
      </c>
      <c r="E93" s="14" t="n">
        <v>0</v>
      </c>
      <c r="F93" s="2" t="inlineStr">
        <is>
          <t>coefficient</t>
        </is>
      </c>
      <c r="G93" s="7" t="inlineStr">
        <is>
          <t>HYPOTHÈSE</t>
        </is>
      </c>
      <c r="H93" s="2" t="inlineStr"/>
      <c r="I93" s="8" t="inlineStr">
        <is>
          <t>M5 : Socle minimal + dotation financière extérieure</t>
        </is>
      </c>
      <c r="J93" s="2" t="inlineStr">
        <is>
          <t>Configuration des modèles</t>
        </is>
      </c>
    </row>
    <row r="94">
      <c r="A94" s="2" t="inlineStr">
        <is>
          <t>cfg_M5_BOIS</t>
        </is>
      </c>
      <c r="B94" s="2" t="inlineStr">
        <is>
          <t>M5 — moteur BOIS retenu (1) ou non (0)</t>
        </is>
      </c>
      <c r="C94" s="14" t="n">
        <v>1</v>
      </c>
      <c r="D94" s="14" t="n">
        <v>1</v>
      </c>
      <c r="E94" s="14" t="n">
        <v>1</v>
      </c>
      <c r="F94" s="2" t="inlineStr">
        <is>
          <t>coefficient</t>
        </is>
      </c>
      <c r="G94" s="7" t="inlineStr">
        <is>
          <t>HYPOTHÈSE</t>
        </is>
      </c>
      <c r="H94" s="2" t="inlineStr"/>
      <c r="I94" s="8" t="inlineStr">
        <is>
          <t>M5 : Socle minimal + dotation financière extérieure</t>
        </is>
      </c>
      <c r="J94" s="2" t="inlineStr">
        <is>
          <t>Configuration des modèles</t>
        </is>
      </c>
    </row>
    <row r="95">
      <c r="A95" s="2" t="inlineStr">
        <is>
          <t>cfg_M5_EQ_HDG</t>
        </is>
      </c>
      <c r="B95" s="2" t="inlineStr">
        <is>
          <t>M5 — moteur EQ_HDG retenu (1) ou non (0)</t>
        </is>
      </c>
      <c r="C95" s="14" t="n">
        <v>0</v>
      </c>
      <c r="D95" s="14" t="n">
        <v>0</v>
      </c>
      <c r="E95" s="14" t="n">
        <v>0</v>
      </c>
      <c r="F95" s="2" t="inlineStr">
        <is>
          <t>coefficient</t>
        </is>
      </c>
      <c r="G95" s="7" t="inlineStr">
        <is>
          <t>HYPOTHÈSE</t>
        </is>
      </c>
      <c r="H95" s="2" t="inlineStr"/>
      <c r="I95" s="8" t="inlineStr">
        <is>
          <t>M5 : Socle minimal + dotation financière extérieure</t>
        </is>
      </c>
      <c r="J95" s="2" t="inlineStr">
        <is>
          <t>Configuration des modèles</t>
        </is>
      </c>
    </row>
    <row r="96">
      <c r="A96" s="2" t="inlineStr">
        <is>
          <t>cfg_M5_EQ_PRO</t>
        </is>
      </c>
      <c r="B96" s="2" t="inlineStr">
        <is>
          <t>M5 — moteur EQ_PRO retenu (1) ou non (0)</t>
        </is>
      </c>
      <c r="C96" s="14" t="n">
        <v>0</v>
      </c>
      <c r="D96" s="14" t="n">
        <v>0</v>
      </c>
      <c r="E96" s="14" t="n">
        <v>0</v>
      </c>
      <c r="F96" s="2" t="inlineStr">
        <is>
          <t>coefficient</t>
        </is>
      </c>
      <c r="G96" s="7" t="inlineStr">
        <is>
          <t>HYPOTHÈSE</t>
        </is>
      </c>
      <c r="H96" s="2" t="inlineStr"/>
      <c r="I96" s="8" t="inlineStr">
        <is>
          <t>M5 : Socle minimal + dotation financière extérieure</t>
        </is>
      </c>
      <c r="J96" s="2" t="inlineStr">
        <is>
          <t>Configuration des modèles</t>
        </is>
      </c>
    </row>
    <row r="97">
      <c r="A97" s="2" t="inlineStr">
        <is>
          <t>cfg_M5_EQ_RET</t>
        </is>
      </c>
      <c r="B97" s="2" t="inlineStr">
        <is>
          <t>M5 — moteur EQ_RET retenu (1) ou non (0)</t>
        </is>
      </c>
      <c r="C97" s="14" t="n">
        <v>0</v>
      </c>
      <c r="D97" s="14" t="n">
        <v>0</v>
      </c>
      <c r="E97" s="14" t="n">
        <v>0</v>
      </c>
      <c r="F97" s="2" t="inlineStr">
        <is>
          <t>coefficient</t>
        </is>
      </c>
      <c r="G97" s="7" t="inlineStr">
        <is>
          <t>HYPOTHÈSE</t>
        </is>
      </c>
      <c r="H97" s="2" t="inlineStr"/>
      <c r="I97" s="8" t="inlineStr">
        <is>
          <t>M5 : Socle minimal + dotation financière extérieure</t>
        </is>
      </c>
      <c r="J97" s="2" t="inlineStr">
        <is>
          <t>Configuration des modèles</t>
        </is>
      </c>
    </row>
    <row r="98">
      <c r="A98" s="2" t="inlineStr">
        <is>
          <t>cfg_M5_EQ_STD</t>
        </is>
      </c>
      <c r="B98" s="2" t="inlineStr">
        <is>
          <t>M5 — moteur EQ_STD retenu (1) ou non (0)</t>
        </is>
      </c>
      <c r="C98" s="14" t="n">
        <v>1</v>
      </c>
      <c r="D98" s="14" t="n">
        <v>1</v>
      </c>
      <c r="E98" s="14" t="n">
        <v>1</v>
      </c>
      <c r="F98" s="2" t="inlineStr">
        <is>
          <t>coefficient</t>
        </is>
      </c>
      <c r="G98" s="7" t="inlineStr">
        <is>
          <t>HYPOTHÈSE</t>
        </is>
      </c>
      <c r="H98" s="2" t="inlineStr"/>
      <c r="I98" s="8" t="inlineStr">
        <is>
          <t>M5 : Socle minimal + dotation financière extérieure</t>
        </is>
      </c>
      <c r="J98" s="2" t="inlineStr">
        <is>
          <t>Configuration des modèles</t>
        </is>
      </c>
    </row>
    <row r="99">
      <c r="A99" s="2" t="inlineStr">
        <is>
          <t>cfg_M5_EVT</t>
        </is>
      </c>
      <c r="B99" s="2" t="inlineStr">
        <is>
          <t>M5 — moteur EVT retenu (1) ou non (0)</t>
        </is>
      </c>
      <c r="C99" s="14" t="n">
        <v>0</v>
      </c>
      <c r="D99" s="14" t="n">
        <v>0</v>
      </c>
      <c r="E99" s="14" t="n">
        <v>0</v>
      </c>
      <c r="F99" s="2" t="inlineStr">
        <is>
          <t>coefficient</t>
        </is>
      </c>
      <c r="G99" s="7" t="inlineStr">
        <is>
          <t>HYPOTHÈSE</t>
        </is>
      </c>
      <c r="H99" s="2" t="inlineStr"/>
      <c r="I99" s="8" t="inlineStr">
        <is>
          <t>M5 : Socle minimal + dotation financière extérieure</t>
        </is>
      </c>
      <c r="J99" s="2" t="inlineStr">
        <is>
          <t>Configuration des modèles</t>
        </is>
      </c>
    </row>
    <row r="100">
      <c r="A100" s="2" t="inlineStr">
        <is>
          <t>cfg_M5_GITE</t>
        </is>
      </c>
      <c r="B100" s="2" t="inlineStr">
        <is>
          <t>M5 — moteur GITE retenu (1) ou non (0)</t>
        </is>
      </c>
      <c r="C100" s="14" t="n">
        <v>0</v>
      </c>
      <c r="D100" s="14" t="n">
        <v>0</v>
      </c>
      <c r="E100" s="14" t="n">
        <v>0</v>
      </c>
      <c r="F100" s="2" t="inlineStr">
        <is>
          <t>coefficient</t>
        </is>
      </c>
      <c r="G100" s="7" t="inlineStr">
        <is>
          <t>HYPOTHÈSE</t>
        </is>
      </c>
      <c r="H100" s="2" t="inlineStr"/>
      <c r="I100" s="8" t="inlineStr">
        <is>
          <t>M5 : Socle minimal + dotation financière extérieure</t>
        </is>
      </c>
      <c r="J100" s="2" t="inlineStr">
        <is>
          <t>Configuration des modèles</t>
        </is>
      </c>
    </row>
    <row r="101">
      <c r="A101" s="2" t="inlineStr">
        <is>
          <t>cfg_M5_HOTEL</t>
        </is>
      </c>
      <c r="B101" s="2" t="inlineStr">
        <is>
          <t>M5 — moteur HOTEL retenu (1) ou non (0)</t>
        </is>
      </c>
      <c r="C101" s="14" t="n">
        <v>0</v>
      </c>
      <c r="D101" s="14" t="n">
        <v>0</v>
      </c>
      <c r="E101" s="14" t="n">
        <v>0</v>
      </c>
      <c r="F101" s="2" t="inlineStr">
        <is>
          <t>coefficient</t>
        </is>
      </c>
      <c r="G101" s="7" t="inlineStr">
        <is>
          <t>HYPOTHÈSE</t>
        </is>
      </c>
      <c r="H101" s="2" t="inlineStr"/>
      <c r="I101" s="8" t="inlineStr">
        <is>
          <t>M5 : Socle minimal + dotation financière extérieure</t>
        </is>
      </c>
      <c r="J101" s="2" t="inlineStr">
        <is>
          <t>Configuration des modèles</t>
        </is>
      </c>
    </row>
    <row r="102">
      <c r="A102" s="2" t="inlineStr">
        <is>
          <t>cfg_M5_LOG</t>
        </is>
      </c>
      <c r="B102" s="2" t="inlineStr">
        <is>
          <t>M5 — moteur LOG retenu (1) ou non (0)</t>
        </is>
      </c>
      <c r="C102" s="14" t="n">
        <v>0</v>
      </c>
      <c r="D102" s="14" t="n">
        <v>0</v>
      </c>
      <c r="E102" s="14" t="n">
        <v>0</v>
      </c>
      <c r="F102" s="2" t="inlineStr">
        <is>
          <t>coefficient</t>
        </is>
      </c>
      <c r="G102" s="7" t="inlineStr">
        <is>
          <t>HYPOTHÈSE</t>
        </is>
      </c>
      <c r="H102" s="2" t="inlineStr"/>
      <c r="I102" s="8" t="inlineStr">
        <is>
          <t>M5 : Socle minimal + dotation financière extérieure</t>
        </is>
      </c>
      <c r="J102" s="2" t="inlineStr">
        <is>
          <t>Configuration des modèles</t>
        </is>
      </c>
    </row>
    <row r="103">
      <c r="A103" s="2" t="inlineStr">
        <is>
          <t>cfg_M5_PV</t>
        </is>
      </c>
      <c r="B103" s="2" t="inlineStr">
        <is>
          <t>M5 — moteur PV retenu (1) ou non (0)</t>
        </is>
      </c>
      <c r="C103" s="14" t="n">
        <v>0</v>
      </c>
      <c r="D103" s="14" t="n">
        <v>0</v>
      </c>
      <c r="E103" s="14" t="n">
        <v>0</v>
      </c>
      <c r="F103" s="2" t="inlineStr">
        <is>
          <t>coefficient</t>
        </is>
      </c>
      <c r="G103" s="7" t="inlineStr">
        <is>
          <t>HYPOTHÈSE</t>
        </is>
      </c>
      <c r="H103" s="2" t="inlineStr"/>
      <c r="I103" s="8" t="inlineStr">
        <is>
          <t>M5 : Socle minimal + dotation financière extérieure</t>
        </is>
      </c>
      <c r="J103" s="2" t="inlineStr">
        <is>
          <t>Configuration des modèles</t>
        </is>
      </c>
    </row>
    <row r="104">
      <c r="A104" s="2" t="inlineStr">
        <is>
          <t>cfg_M5_REPRO</t>
        </is>
      </c>
      <c r="B104" s="2" t="inlineStr">
        <is>
          <t>M5 — moteur REPRO retenu (1) ou non (0)</t>
        </is>
      </c>
      <c r="C104" s="14" t="n">
        <v>0</v>
      </c>
      <c r="D104" s="14" t="n">
        <v>0</v>
      </c>
      <c r="E104" s="14" t="n">
        <v>0</v>
      </c>
      <c r="F104" s="2" t="inlineStr">
        <is>
          <t>coefficient</t>
        </is>
      </c>
      <c r="G104" s="7" t="inlineStr">
        <is>
          <t>HYPOTHÈSE</t>
        </is>
      </c>
      <c r="H104" s="2" t="inlineStr"/>
      <c r="I104" s="8" t="inlineStr">
        <is>
          <t>M5 : Socle minimal + dotation financière extérieure</t>
        </is>
      </c>
      <c r="J104" s="2" t="inlineStr">
        <is>
          <t>Configuration des modèles</t>
        </is>
      </c>
    </row>
    <row r="105">
      <c r="A105" s="2" t="inlineStr">
        <is>
          <t>cfg_M5_SEMJ</t>
        </is>
      </c>
      <c r="B105" s="2" t="inlineStr">
        <is>
          <t>M5 — moteur SEMJ retenu (1) ou non (0)</t>
        </is>
      </c>
      <c r="C105" s="14" t="n">
        <v>0</v>
      </c>
      <c r="D105" s="14" t="n">
        <v>0</v>
      </c>
      <c r="E105" s="14" t="n">
        <v>0</v>
      </c>
      <c r="F105" s="2" t="inlineStr">
        <is>
          <t>coefficient</t>
        </is>
      </c>
      <c r="G105" s="7" t="inlineStr">
        <is>
          <t>HYPOTHÈSE</t>
        </is>
      </c>
      <c r="H105" s="2" t="inlineStr"/>
      <c r="I105" s="8" t="inlineStr">
        <is>
          <t>M5 : Socle minimal + dotation financière extérieure</t>
        </is>
      </c>
      <c r="J105" s="2" t="inlineStr">
        <is>
          <t>Configuration des modèles</t>
        </is>
      </c>
    </row>
    <row r="106">
      <c r="A106" s="2" t="inlineStr">
        <is>
          <t>cfg_M5_STOCK</t>
        </is>
      </c>
      <c r="B106" s="2" t="inlineStr">
        <is>
          <t>M5 — moteur STOCK retenu (1) ou non (0)</t>
        </is>
      </c>
      <c r="C106" s="14" t="n">
        <v>0</v>
      </c>
      <c r="D106" s="14" t="n">
        <v>0</v>
      </c>
      <c r="E106" s="14" t="n">
        <v>0</v>
      </c>
      <c r="F106" s="2" t="inlineStr">
        <is>
          <t>coefficient</t>
        </is>
      </c>
      <c r="G106" s="7" t="inlineStr">
        <is>
          <t>HYPOTHÈSE</t>
        </is>
      </c>
      <c r="H106" s="2" t="inlineStr"/>
      <c r="I106" s="8" t="inlineStr">
        <is>
          <t>M5 : Socle minimal + dotation financière extérieure</t>
        </is>
      </c>
      <c r="J106" s="2" t="inlineStr">
        <is>
          <t>Configuration des modèles</t>
        </is>
      </c>
    </row>
    <row r="107">
      <c r="A107" s="2" t="inlineStr">
        <is>
          <t>cfg_M5_TOURN</t>
        </is>
      </c>
      <c r="B107" s="2" t="inlineStr">
        <is>
          <t>M5 — moteur TOURN retenu (1) ou non (0)</t>
        </is>
      </c>
      <c r="C107" s="14" t="n">
        <v>1</v>
      </c>
      <c r="D107" s="14" t="n">
        <v>1</v>
      </c>
      <c r="E107" s="14" t="n">
        <v>1</v>
      </c>
      <c r="F107" s="2" t="inlineStr">
        <is>
          <t>coefficient</t>
        </is>
      </c>
      <c r="G107" s="7" t="inlineStr">
        <is>
          <t>HYPOTHÈSE</t>
        </is>
      </c>
      <c r="H107" s="2" t="inlineStr"/>
      <c r="I107" s="8" t="inlineStr">
        <is>
          <t>M5 : Socle minimal + dotation financière extérieure</t>
        </is>
      </c>
      <c r="J107" s="2" t="inlineStr">
        <is>
          <t>Configuration des modèles</t>
        </is>
      </c>
    </row>
    <row r="108">
      <c r="A108" s="2" t="inlineStr">
        <is>
          <t>cfg_M6_AUTO</t>
        </is>
      </c>
      <c r="B108" s="2" t="inlineStr">
        <is>
          <t>M6 — moteur AUTO retenu (1) ou non (0)</t>
        </is>
      </c>
      <c r="C108" s="14" t="n">
        <v>0</v>
      </c>
      <c r="D108" s="14" t="n">
        <v>0</v>
      </c>
      <c r="E108" s="14" t="n">
        <v>0</v>
      </c>
      <c r="F108" s="2" t="inlineStr">
        <is>
          <t>coefficient</t>
        </is>
      </c>
      <c r="G108" s="7" t="inlineStr">
        <is>
          <t>HYPOTHÈSE</t>
        </is>
      </c>
      <c r="H108" s="2" t="inlineStr"/>
      <c r="I108" s="8" t="inlineStr">
        <is>
          <t>M6 : Socle minimal + entreprise extérieure</t>
        </is>
      </c>
      <c r="J108" s="2" t="inlineStr">
        <is>
          <t>Configuration des modèles</t>
        </is>
      </c>
    </row>
    <row r="109">
      <c r="A109" s="2" t="inlineStr">
        <is>
          <t>cfg_M6_BOIS</t>
        </is>
      </c>
      <c r="B109" s="2" t="inlineStr">
        <is>
          <t>M6 — moteur BOIS retenu (1) ou non (0)</t>
        </is>
      </c>
      <c r="C109" s="14" t="n">
        <v>1</v>
      </c>
      <c r="D109" s="14" t="n">
        <v>1</v>
      </c>
      <c r="E109" s="14" t="n">
        <v>1</v>
      </c>
      <c r="F109" s="2" t="inlineStr">
        <is>
          <t>coefficient</t>
        </is>
      </c>
      <c r="G109" s="7" t="inlineStr">
        <is>
          <t>HYPOTHÈSE</t>
        </is>
      </c>
      <c r="H109" s="2" t="inlineStr"/>
      <c r="I109" s="8" t="inlineStr">
        <is>
          <t>M6 : Socle minimal + entreprise extérieure</t>
        </is>
      </c>
      <c r="J109" s="2" t="inlineStr">
        <is>
          <t>Configuration des modèles</t>
        </is>
      </c>
    </row>
    <row r="110">
      <c r="A110" s="2" t="inlineStr">
        <is>
          <t>cfg_M6_EQ_HDG</t>
        </is>
      </c>
      <c r="B110" s="2" t="inlineStr">
        <is>
          <t>M6 — moteur EQ_HDG retenu (1) ou non (0)</t>
        </is>
      </c>
      <c r="C110" s="14" t="n">
        <v>0</v>
      </c>
      <c r="D110" s="14" t="n">
        <v>0</v>
      </c>
      <c r="E110" s="14" t="n">
        <v>0</v>
      </c>
      <c r="F110" s="2" t="inlineStr">
        <is>
          <t>coefficient</t>
        </is>
      </c>
      <c r="G110" s="7" t="inlineStr">
        <is>
          <t>HYPOTHÈSE</t>
        </is>
      </c>
      <c r="H110" s="2" t="inlineStr"/>
      <c r="I110" s="8" t="inlineStr">
        <is>
          <t>M6 : Socle minimal + entreprise extérieure</t>
        </is>
      </c>
      <c r="J110" s="2" t="inlineStr">
        <is>
          <t>Configuration des modèles</t>
        </is>
      </c>
    </row>
    <row r="111">
      <c r="A111" s="2" t="inlineStr">
        <is>
          <t>cfg_M6_EQ_PRO</t>
        </is>
      </c>
      <c r="B111" s="2" t="inlineStr">
        <is>
          <t>M6 — moteur EQ_PRO retenu (1) ou non (0)</t>
        </is>
      </c>
      <c r="C111" s="14" t="n">
        <v>0</v>
      </c>
      <c r="D111" s="14" t="n">
        <v>0</v>
      </c>
      <c r="E111" s="14" t="n">
        <v>0</v>
      </c>
      <c r="F111" s="2" t="inlineStr">
        <is>
          <t>coefficient</t>
        </is>
      </c>
      <c r="G111" s="7" t="inlineStr">
        <is>
          <t>HYPOTHÈSE</t>
        </is>
      </c>
      <c r="H111" s="2" t="inlineStr"/>
      <c r="I111" s="8" t="inlineStr">
        <is>
          <t>M6 : Socle minimal + entreprise extérieure</t>
        </is>
      </c>
      <c r="J111" s="2" t="inlineStr">
        <is>
          <t>Configuration des modèles</t>
        </is>
      </c>
    </row>
    <row r="112">
      <c r="A112" s="2" t="inlineStr">
        <is>
          <t>cfg_M6_EQ_RET</t>
        </is>
      </c>
      <c r="B112" s="2" t="inlineStr">
        <is>
          <t>M6 — moteur EQ_RET retenu (1) ou non (0)</t>
        </is>
      </c>
      <c r="C112" s="14" t="n">
        <v>0</v>
      </c>
      <c r="D112" s="14" t="n">
        <v>0</v>
      </c>
      <c r="E112" s="14" t="n">
        <v>0</v>
      </c>
      <c r="F112" s="2" t="inlineStr">
        <is>
          <t>coefficient</t>
        </is>
      </c>
      <c r="G112" s="7" t="inlineStr">
        <is>
          <t>HYPOTHÈSE</t>
        </is>
      </c>
      <c r="H112" s="2" t="inlineStr"/>
      <c r="I112" s="8" t="inlineStr">
        <is>
          <t>M6 : Socle minimal + entreprise extérieure</t>
        </is>
      </c>
      <c r="J112" s="2" t="inlineStr">
        <is>
          <t>Configuration des modèles</t>
        </is>
      </c>
    </row>
    <row r="113">
      <c r="A113" s="2" t="inlineStr">
        <is>
          <t>cfg_M6_EQ_STD</t>
        </is>
      </c>
      <c r="B113" s="2" t="inlineStr">
        <is>
          <t>M6 — moteur EQ_STD retenu (1) ou non (0)</t>
        </is>
      </c>
      <c r="C113" s="14" t="n">
        <v>1</v>
      </c>
      <c r="D113" s="14" t="n">
        <v>1</v>
      </c>
      <c r="E113" s="14" t="n">
        <v>1</v>
      </c>
      <c r="F113" s="2" t="inlineStr">
        <is>
          <t>coefficient</t>
        </is>
      </c>
      <c r="G113" s="7" t="inlineStr">
        <is>
          <t>HYPOTHÈSE</t>
        </is>
      </c>
      <c r="H113" s="2" t="inlineStr"/>
      <c r="I113" s="8" t="inlineStr">
        <is>
          <t>M6 : Socle minimal + entreprise extérieure</t>
        </is>
      </c>
      <c r="J113" s="2" t="inlineStr">
        <is>
          <t>Configuration des modèles</t>
        </is>
      </c>
    </row>
    <row r="114">
      <c r="A114" s="2" t="inlineStr">
        <is>
          <t>cfg_M6_EVT</t>
        </is>
      </c>
      <c r="B114" s="2" t="inlineStr">
        <is>
          <t>M6 — moteur EVT retenu (1) ou non (0)</t>
        </is>
      </c>
      <c r="C114" s="14" t="n">
        <v>0</v>
      </c>
      <c r="D114" s="14" t="n">
        <v>0</v>
      </c>
      <c r="E114" s="14" t="n">
        <v>0</v>
      </c>
      <c r="F114" s="2" t="inlineStr">
        <is>
          <t>coefficient</t>
        </is>
      </c>
      <c r="G114" s="7" t="inlineStr">
        <is>
          <t>HYPOTHÈSE</t>
        </is>
      </c>
      <c r="H114" s="2" t="inlineStr"/>
      <c r="I114" s="8" t="inlineStr">
        <is>
          <t>M6 : Socle minimal + entreprise extérieure</t>
        </is>
      </c>
      <c r="J114" s="2" t="inlineStr">
        <is>
          <t>Configuration des modèles</t>
        </is>
      </c>
    </row>
    <row r="115">
      <c r="A115" s="2" t="inlineStr">
        <is>
          <t>cfg_M6_GITE</t>
        </is>
      </c>
      <c r="B115" s="2" t="inlineStr">
        <is>
          <t>M6 — moteur GITE retenu (1) ou non (0)</t>
        </is>
      </c>
      <c r="C115" s="14" t="n">
        <v>0</v>
      </c>
      <c r="D115" s="14" t="n">
        <v>0</v>
      </c>
      <c r="E115" s="14" t="n">
        <v>0</v>
      </c>
      <c r="F115" s="2" t="inlineStr">
        <is>
          <t>coefficient</t>
        </is>
      </c>
      <c r="G115" s="7" t="inlineStr">
        <is>
          <t>HYPOTHÈSE</t>
        </is>
      </c>
      <c r="H115" s="2" t="inlineStr"/>
      <c r="I115" s="8" t="inlineStr">
        <is>
          <t>M6 : Socle minimal + entreprise extérieure</t>
        </is>
      </c>
      <c r="J115" s="2" t="inlineStr">
        <is>
          <t>Configuration des modèles</t>
        </is>
      </c>
    </row>
    <row r="116">
      <c r="A116" s="2" t="inlineStr">
        <is>
          <t>cfg_M6_HOTEL</t>
        </is>
      </c>
      <c r="B116" s="2" t="inlineStr">
        <is>
          <t>M6 — moteur HOTEL retenu (1) ou non (0)</t>
        </is>
      </c>
      <c r="C116" s="14" t="n">
        <v>0</v>
      </c>
      <c r="D116" s="14" t="n">
        <v>0</v>
      </c>
      <c r="E116" s="14" t="n">
        <v>0</v>
      </c>
      <c r="F116" s="2" t="inlineStr">
        <is>
          <t>coefficient</t>
        </is>
      </c>
      <c r="G116" s="7" t="inlineStr">
        <is>
          <t>HYPOTHÈSE</t>
        </is>
      </c>
      <c r="H116" s="2" t="inlineStr"/>
      <c r="I116" s="8" t="inlineStr">
        <is>
          <t>M6 : Socle minimal + entreprise extérieure</t>
        </is>
      </c>
      <c r="J116" s="2" t="inlineStr">
        <is>
          <t>Configuration des modèles</t>
        </is>
      </c>
    </row>
    <row r="117">
      <c r="A117" s="2" t="inlineStr">
        <is>
          <t>cfg_M6_LOG</t>
        </is>
      </c>
      <c r="B117" s="2" t="inlineStr">
        <is>
          <t>M6 — moteur LOG retenu (1) ou non (0)</t>
        </is>
      </c>
      <c r="C117" s="14" t="n">
        <v>0</v>
      </c>
      <c r="D117" s="14" t="n">
        <v>0</v>
      </c>
      <c r="E117" s="14" t="n">
        <v>0</v>
      </c>
      <c r="F117" s="2" t="inlineStr">
        <is>
          <t>coefficient</t>
        </is>
      </c>
      <c r="G117" s="7" t="inlineStr">
        <is>
          <t>HYPOTHÈSE</t>
        </is>
      </c>
      <c r="H117" s="2" t="inlineStr"/>
      <c r="I117" s="8" t="inlineStr">
        <is>
          <t>M6 : Socle minimal + entreprise extérieure</t>
        </is>
      </c>
      <c r="J117" s="2" t="inlineStr">
        <is>
          <t>Configuration des modèles</t>
        </is>
      </c>
    </row>
    <row r="118">
      <c r="A118" s="2" t="inlineStr">
        <is>
          <t>cfg_M6_PV</t>
        </is>
      </c>
      <c r="B118" s="2" t="inlineStr">
        <is>
          <t>M6 — moteur PV retenu (1) ou non (0)</t>
        </is>
      </c>
      <c r="C118" s="14" t="n">
        <v>0</v>
      </c>
      <c r="D118" s="14" t="n">
        <v>0</v>
      </c>
      <c r="E118" s="14" t="n">
        <v>0</v>
      </c>
      <c r="F118" s="2" t="inlineStr">
        <is>
          <t>coefficient</t>
        </is>
      </c>
      <c r="G118" s="7" t="inlineStr">
        <is>
          <t>HYPOTHÈSE</t>
        </is>
      </c>
      <c r="H118" s="2" t="inlineStr"/>
      <c r="I118" s="8" t="inlineStr">
        <is>
          <t>M6 : Socle minimal + entreprise extérieure</t>
        </is>
      </c>
      <c r="J118" s="2" t="inlineStr">
        <is>
          <t>Configuration des modèles</t>
        </is>
      </c>
    </row>
    <row r="119">
      <c r="A119" s="2" t="inlineStr">
        <is>
          <t>cfg_M6_REPRO</t>
        </is>
      </c>
      <c r="B119" s="2" t="inlineStr">
        <is>
          <t>M6 — moteur REPRO retenu (1) ou non (0)</t>
        </is>
      </c>
      <c r="C119" s="14" t="n">
        <v>0</v>
      </c>
      <c r="D119" s="14" t="n">
        <v>0</v>
      </c>
      <c r="E119" s="14" t="n">
        <v>0</v>
      </c>
      <c r="F119" s="2" t="inlineStr">
        <is>
          <t>coefficient</t>
        </is>
      </c>
      <c r="G119" s="7" t="inlineStr">
        <is>
          <t>HYPOTHÈSE</t>
        </is>
      </c>
      <c r="H119" s="2" t="inlineStr"/>
      <c r="I119" s="8" t="inlineStr">
        <is>
          <t>M6 : Socle minimal + entreprise extérieure</t>
        </is>
      </c>
      <c r="J119" s="2" t="inlineStr">
        <is>
          <t>Configuration des modèles</t>
        </is>
      </c>
    </row>
    <row r="120">
      <c r="A120" s="2" t="inlineStr">
        <is>
          <t>cfg_M6_SEMJ</t>
        </is>
      </c>
      <c r="B120" s="2" t="inlineStr">
        <is>
          <t>M6 — moteur SEMJ retenu (1) ou non (0)</t>
        </is>
      </c>
      <c r="C120" s="14" t="n">
        <v>0</v>
      </c>
      <c r="D120" s="14" t="n">
        <v>0</v>
      </c>
      <c r="E120" s="14" t="n">
        <v>0</v>
      </c>
      <c r="F120" s="2" t="inlineStr">
        <is>
          <t>coefficient</t>
        </is>
      </c>
      <c r="G120" s="7" t="inlineStr">
        <is>
          <t>HYPOTHÈSE</t>
        </is>
      </c>
      <c r="H120" s="2" t="inlineStr"/>
      <c r="I120" s="8" t="inlineStr">
        <is>
          <t>M6 : Socle minimal + entreprise extérieure</t>
        </is>
      </c>
      <c r="J120" s="2" t="inlineStr">
        <is>
          <t>Configuration des modèles</t>
        </is>
      </c>
    </row>
    <row r="121">
      <c r="A121" s="2" t="inlineStr">
        <is>
          <t>cfg_M6_STOCK</t>
        </is>
      </c>
      <c r="B121" s="2" t="inlineStr">
        <is>
          <t>M6 — moteur STOCK retenu (1) ou non (0)</t>
        </is>
      </c>
      <c r="C121" s="14" t="n">
        <v>0</v>
      </c>
      <c r="D121" s="14" t="n">
        <v>0</v>
      </c>
      <c r="E121" s="14" t="n">
        <v>0</v>
      </c>
      <c r="F121" s="2" t="inlineStr">
        <is>
          <t>coefficient</t>
        </is>
      </c>
      <c r="G121" s="7" t="inlineStr">
        <is>
          <t>HYPOTHÈSE</t>
        </is>
      </c>
      <c r="H121" s="2" t="inlineStr"/>
      <c r="I121" s="8" t="inlineStr">
        <is>
          <t>M6 : Socle minimal + entreprise extérieure</t>
        </is>
      </c>
      <c r="J121" s="2" t="inlineStr">
        <is>
          <t>Configuration des modèles</t>
        </is>
      </c>
    </row>
    <row r="122">
      <c r="A122" s="2" t="inlineStr">
        <is>
          <t>cfg_M6_TOURN</t>
        </is>
      </c>
      <c r="B122" s="2" t="inlineStr">
        <is>
          <t>M6 — moteur TOURN retenu (1) ou non (0)</t>
        </is>
      </c>
      <c r="C122" s="14" t="n">
        <v>1</v>
      </c>
      <c r="D122" s="14" t="n">
        <v>1</v>
      </c>
      <c r="E122" s="14" t="n">
        <v>1</v>
      </c>
      <c r="F122" s="2" t="inlineStr">
        <is>
          <t>coefficient</t>
        </is>
      </c>
      <c r="G122" s="7" t="inlineStr">
        <is>
          <t>HYPOTHÈSE</t>
        </is>
      </c>
      <c r="H122" s="2" t="inlineStr"/>
      <c r="I122" s="8" t="inlineStr">
        <is>
          <t>M6 : Socle minimal + entreprise extérieure</t>
        </is>
      </c>
      <c r="J122" s="2" t="inlineStr">
        <is>
          <t>Configuration des modèles</t>
        </is>
      </c>
    </row>
    <row r="123">
      <c r="A123" s="2" t="inlineStr">
        <is>
          <t>fuite_fiscale</t>
        </is>
      </c>
      <c r="B123" s="2" t="inlineStr">
        <is>
          <t>Fuite fiscale sur les contributions sur place utilisées pour des coûts privés</t>
        </is>
      </c>
      <c r="C123" s="9" t="n">
        <v>0.15</v>
      </c>
      <c r="D123" s="9" t="n">
        <v>0.3</v>
      </c>
      <c r="E123" s="9" t="n">
        <v>0.486</v>
      </c>
      <c r="F123" s="2" t="inlineStr">
        <is>
          <t>%</t>
        </is>
      </c>
      <c r="G123" s="11" t="inlineStr">
        <is>
          <t>ESTIMATION</t>
        </is>
      </c>
      <c r="H123" s="2" t="inlineStr">
        <is>
          <t>R3-16; R3-20; R3-57</t>
        </is>
      </c>
      <c r="I123" s="8" t="inlineStr">
        <is>
          <t>Chaîne complète IS 25 % puis PFU 31,4 % = 48,6 % (défavorable). Une part des contributions finance des coûts professionnels déductibles (loyers payés à la SCI, entretien des espaces exploités) et subit moins d'impôt : 15 à 30 %. Calcul consolidé exact dans la projection sur 20 ans.</t>
        </is>
      </c>
      <c r="J123" s="2" t="inlineStr">
        <is>
          <t>Configuration des modèles</t>
        </is>
      </c>
    </row>
    <row r="124">
      <c r="A124" s="5" t="inlineStr">
        <is>
          <t>— Jardins, terres, équipements, chevaux —</t>
        </is>
      </c>
    </row>
    <row r="125">
      <c r="A125" s="2" t="inlineStr">
        <is>
          <t>S1_valeur_equip</t>
        </is>
      </c>
      <c r="B125" s="2" t="inlineStr">
        <is>
          <t>S1 — parc de matériel à neuf (tracteur compact, broyeur, épandeur, tondeuses, utilitaire)</t>
        </is>
      </c>
      <c r="C125" s="6" t="n">
        <v>170000</v>
      </c>
      <c r="D125" s="6" t="n">
        <v>170000</v>
      </c>
      <c r="E125" s="6" t="n">
        <v>170000</v>
      </c>
      <c r="F125" s="2" t="inlineStr">
        <is>
          <t>€ HT</t>
        </is>
      </c>
      <c r="G125" s="11" t="inlineStr">
        <is>
          <t>ESTIMATION</t>
        </is>
      </c>
      <c r="H125" s="2" t="inlineStr">
        <is>
          <t>R2-30</t>
        </is>
      </c>
      <c r="I125" s="8" t="inlineStr">
        <is>
          <t>≈ 130 000 € selon le guide des cuma 2025-2026, plus ≈ 40 000 € de tondeuses et d'utilitaire (hypothèse).</t>
        </is>
      </c>
      <c r="J125" s="2" t="inlineStr">
        <is>
          <t>Jardins, terres, équipements, chevaux</t>
        </is>
      </c>
    </row>
    <row r="126">
      <c r="A126" s="2" t="inlineStr">
        <is>
          <t>S2_valeur_equip</t>
        </is>
      </c>
      <c r="B126" s="2" t="inlineStr">
        <is>
          <t>S2 — parc de matériel à neuf (2 tracteurs, télescopique, fenaison, épandeur, tondeuses, utilitaires)</t>
        </is>
      </c>
      <c r="C126" s="6" t="n">
        <v>500000</v>
      </c>
      <c r="D126" s="6" t="n">
        <v>500000</v>
      </c>
      <c r="E126" s="6" t="n">
        <v>500000</v>
      </c>
      <c r="F126" s="2" t="inlineStr">
        <is>
          <t>€ HT</t>
        </is>
      </c>
      <c r="G126" s="11" t="inlineStr">
        <is>
          <t>ESTIMATION</t>
        </is>
      </c>
      <c r="H126" s="2" t="inlineStr">
        <is>
          <t>R2-30</t>
        </is>
      </c>
      <c r="I126" s="8" t="inlineStr">
        <is>
          <t>≈ 436 000 € selon le guide des cuma, plus ≈ 60 000 € de tondeuses et de véhicules (hypothèse).</t>
        </is>
      </c>
      <c r="J126" s="2" t="inlineStr">
        <is>
          <t>Jardins, terres, équipements, chevaux</t>
        </is>
      </c>
    </row>
    <row r="127">
      <c r="A127" s="2" t="inlineStr">
        <is>
          <t>S3_valeur_equip</t>
        </is>
      </c>
      <c r="B127" s="2" t="inlineStr">
        <is>
          <t>S3 — parc de matériel à neuf</t>
        </is>
      </c>
      <c r="C127" s="6" t="n">
        <v>665000</v>
      </c>
      <c r="D127" s="6" t="n">
        <v>665000</v>
      </c>
      <c r="E127" s="6" t="n">
        <v>665000</v>
      </c>
      <c r="F127" s="2" t="inlineStr">
        <is>
          <t>€ HT</t>
        </is>
      </c>
      <c r="G127" s="11" t="inlineStr">
        <is>
          <t>ESTIMATION</t>
        </is>
      </c>
      <c r="H127" s="2" t="inlineStr">
        <is>
          <t>R2-30</t>
        </is>
      </c>
      <c r="I127" s="8" t="inlineStr">
        <is>
          <t>≈ 565 000 € selon le guide des cuma, plus ≈ 100 000 € (hypothèse).</t>
        </is>
      </c>
      <c r="J127" s="2" t="inlineStr">
        <is>
          <t>Jardins, terres, équipements, chevaux</t>
        </is>
      </c>
    </row>
    <row r="128">
      <c r="A128" s="2" t="inlineStr">
        <is>
          <t>bois_cout_ha</t>
        </is>
      </c>
      <c r="B128" s="2" t="inlineStr">
        <is>
          <t>Bois : gestion courante</t>
        </is>
      </c>
      <c r="C128" s="6" t="n">
        <v>15</v>
      </c>
      <c r="D128" s="6" t="n">
        <v>30</v>
      </c>
      <c r="E128" s="6" t="n">
        <v>60</v>
      </c>
      <c r="F128" s="2" t="inlineStr">
        <is>
          <t>€/ha/an</t>
        </is>
      </c>
      <c r="G128" s="7" t="inlineStr">
        <is>
          <t>HYPOTHÈSE</t>
        </is>
      </c>
      <c r="H128" s="2" t="inlineStr"/>
      <c r="I128" s="8" t="inlineStr">
        <is>
          <t>À recouper avec R8 (revenu forestier net).</t>
        </is>
      </c>
      <c r="J128" s="2" t="inlineStr">
        <is>
          <t>Jardins, terres, équipements, chevaux</t>
        </is>
      </c>
    </row>
    <row r="129">
      <c r="A129" s="2" t="inlineStr">
        <is>
          <t>box_entretien</t>
        </is>
      </c>
      <c r="B129" s="2" t="inlineStr">
        <is>
          <t>Entretien et renouvellement d'un box</t>
        </is>
      </c>
      <c r="C129" s="6" t="n">
        <v>300</v>
      </c>
      <c r="D129" s="6" t="n">
        <v>500</v>
      </c>
      <c r="E129" s="6" t="n">
        <v>900</v>
      </c>
      <c r="F129" s="2" t="inlineStr">
        <is>
          <t>€/box/an</t>
        </is>
      </c>
      <c r="G129" s="11" t="inlineStr">
        <is>
          <t>ESTIMATION</t>
        </is>
      </c>
      <c r="H129" s="2" t="inlineStr">
        <is>
          <t>R2-28</t>
        </is>
      </c>
      <c r="I129" s="8" t="inlineStr">
        <is>
          <t>Box de 8 000 à 25 000 € sur 25 ans.</t>
        </is>
      </c>
      <c r="J129" s="2" t="inlineStr">
        <is>
          <t>Jardins, terres, équipements, chevaux</t>
        </is>
      </c>
    </row>
    <row r="130">
      <c r="A130" s="2" t="inlineStr">
        <is>
          <t>cheval_an</t>
        </is>
      </c>
      <c r="B130" s="2" t="inlineStr">
        <is>
          <t>Coût annuel d'un cheval au box hors personnel (alimentation, litière, maréchal, vétérinaire, assurance, eau)</t>
        </is>
      </c>
      <c r="C130" s="6" t="n">
        <v>2900</v>
      </c>
      <c r="D130" s="6" t="n">
        <v>4000</v>
      </c>
      <c r="E130" s="6" t="n">
        <v>5500</v>
      </c>
      <c r="F130" s="2" t="inlineStr">
        <is>
          <t>€/cheval/an TTC</t>
        </is>
      </c>
      <c r="G130" s="11" t="inlineStr">
        <is>
          <t>ESTIMATION</t>
        </is>
      </c>
      <c r="H130" s="2" t="inlineStr">
        <is>
          <t>R2-17; R2-18; R2-24; R2-21</t>
        </is>
      </c>
      <c r="I130" s="8" t="inlineStr">
        <is>
          <t>Alimentation + litière 1 000 à 2 000 € ; maréchal 525 à 1 040 € ; soins 270 à 500 € ; aléas 300 à 500 € ; assurance 450 à 750 € (prix de 2012 majorés d'environ 20 %). Hors compétition.</t>
        </is>
      </c>
      <c r="J130" s="2" t="inlineStr">
        <is>
          <t>Jardins, terres, équipements, chevaux</t>
        </is>
      </c>
    </row>
    <row r="131">
      <c r="A131" s="2" t="inlineStr">
        <is>
          <t>cloture_ml</t>
        </is>
      </c>
      <c r="B131" s="2" t="inlineStr">
        <is>
          <t>Clôture équestre de qualité posée</t>
        </is>
      </c>
      <c r="C131" s="6" t="n">
        <v>20</v>
      </c>
      <c r="D131" s="6" t="n">
        <v>35</v>
      </c>
      <c r="E131" s="6" t="n">
        <v>60</v>
      </c>
      <c r="F131" s="2" t="inlineStr">
        <is>
          <t>€/ml</t>
        </is>
      </c>
      <c r="G131" s="7" t="inlineStr">
        <is>
          <t>HYPOTHÈSE</t>
        </is>
      </c>
      <c r="H131" s="2" t="inlineStr">
        <is>
          <t>R2</t>
        </is>
      </c>
      <c r="I131" s="8" t="inlineStr">
        <is>
          <t>Fourchette proposée par R2 sans source (20 à 60 €/ml).</t>
        </is>
      </c>
      <c r="J131" s="2" t="inlineStr">
        <is>
          <t>Jardins, terres, équipements, chevaux</t>
        </is>
      </c>
    </row>
    <row r="132">
      <c r="A132" s="2" t="inlineStr">
        <is>
          <t>cloture_vie</t>
        </is>
      </c>
      <c r="B132" s="2" t="inlineStr">
        <is>
          <t>Durée de vie des clôtures</t>
        </is>
      </c>
      <c r="C132" s="14" t="n">
        <v>25</v>
      </c>
      <c r="D132" s="14" t="n">
        <v>20</v>
      </c>
      <c r="E132" s="14" t="n">
        <v>15</v>
      </c>
      <c r="F132" s="2" t="inlineStr">
        <is>
          <t>années</t>
        </is>
      </c>
      <c r="G132" s="7" t="inlineStr">
        <is>
          <t>HYPOTHÈSE</t>
        </is>
      </c>
      <c r="H132" s="2" t="inlineStr">
        <is>
          <t>R2</t>
        </is>
      </c>
      <c r="I132" s="8" t="inlineStr"/>
      <c r="J132" s="2" t="inlineStr">
        <is>
          <t>Jardins, terres, équipements, chevaux</t>
        </is>
      </c>
    </row>
    <row r="133">
      <c r="A133" s="2" t="inlineStr">
        <is>
          <t>equip_entretien_taux</t>
        </is>
      </c>
      <c r="B133" s="2" t="inlineStr">
        <is>
          <t>Entretien, réparations et carburant du matériel, en % de sa valeur</t>
        </is>
      </c>
      <c r="C133" s="9" t="n">
        <v>0.04</v>
      </c>
      <c r="D133" s="9" t="n">
        <v>0.06</v>
      </c>
      <c r="E133" s="9" t="n">
        <v>0.08</v>
      </c>
      <c r="F133" s="2" t="inlineStr">
        <is>
          <t>% par an</t>
        </is>
      </c>
      <c r="G133" s="7" t="inlineStr">
        <is>
          <t>HYPOTHÈSE</t>
        </is>
      </c>
      <c r="H133" s="2" t="inlineStr">
        <is>
          <t>R2-30</t>
        </is>
      </c>
      <c r="I133" s="8" t="inlineStr"/>
      <c r="J133" s="2" t="inlineStr">
        <is>
          <t>Jardins, terres, équipements, chevaux</t>
        </is>
      </c>
    </row>
    <row r="134">
      <c r="A134" s="2" t="inlineStr">
        <is>
          <t>equip_vie</t>
        </is>
      </c>
      <c r="B134" s="2" t="inlineStr">
        <is>
          <t>Durée de renouvellement moyenne du matériel</t>
        </is>
      </c>
      <c r="C134" s="14" t="n">
        <v>12</v>
      </c>
      <c r="D134" s="14" t="n">
        <v>10</v>
      </c>
      <c r="E134" s="14" t="n">
        <v>8</v>
      </c>
      <c r="F134" s="2" t="inlineStr">
        <is>
          <t>années</t>
        </is>
      </c>
      <c r="G134" s="12" t="inlineStr">
        <is>
          <t>SOURCÉ</t>
        </is>
      </c>
      <c r="H134" s="2" t="inlineStr">
        <is>
          <t>R2-30</t>
        </is>
      </c>
      <c r="I134" s="8" t="inlineStr">
        <is>
          <t>Durées d'amortissement des cuma : 8,2 à 10,7 ans.</t>
        </is>
      </c>
      <c r="J134" s="2" t="inlineStr">
        <is>
          <t>Jardins, terres, équipements, chevaux</t>
        </is>
      </c>
    </row>
    <row r="135">
      <c r="A135" s="2" t="inlineStr">
        <is>
          <t>jardin_ha</t>
        </is>
      </c>
      <c r="B135" s="2" t="inlineStr">
        <is>
          <t>Jardins réguliers : fournitures, végétaux, traitements, sous-traitance (hors personnel)</t>
        </is>
      </c>
      <c r="C135" s="6" t="n">
        <v>3000</v>
      </c>
      <c r="D135" s="6" t="n">
        <v>5000</v>
      </c>
      <c r="E135" s="6" t="n">
        <v>8000</v>
      </c>
      <c r="F135" s="2" t="inlineStr">
        <is>
          <t>€/ha/an TTC</t>
        </is>
      </c>
      <c r="G135" s="7" t="inlineStr">
        <is>
          <t>HYPOTHÈSE</t>
        </is>
      </c>
      <c r="H135" s="2" t="inlineStr">
        <is>
          <t>R2</t>
        </is>
      </c>
      <c r="I135" s="8" t="inlineStr">
        <is>
          <t>Coûts au m² introuvables (Plante &amp; Cité réservé aux adhérents). Hypothèse à remplacer par des devis.</t>
        </is>
      </c>
      <c r="J135" s="2" t="inlineStr">
        <is>
          <t>Jardins, terres, équipements, chevaux</t>
        </is>
      </c>
    </row>
    <row r="136">
      <c r="A136" s="2" t="inlineStr">
        <is>
          <t>manege_cout_m2</t>
        </is>
      </c>
      <c r="B136" s="2" t="inlineStr">
        <is>
          <t>Manège couvert : coût de construction</t>
        </is>
      </c>
      <c r="C136" s="6" t="n">
        <v>150</v>
      </c>
      <c r="D136" s="6" t="n">
        <v>180</v>
      </c>
      <c r="E136" s="6" t="n">
        <v>250</v>
      </c>
      <c r="F136" s="2" t="inlineStr">
        <is>
          <t>€/m²</t>
        </is>
      </c>
      <c r="G136" s="11" t="inlineStr">
        <is>
          <t>ESTIMATION</t>
        </is>
      </c>
      <c r="H136" s="2" t="inlineStr">
        <is>
          <t>R2-27</t>
        </is>
      </c>
      <c r="I136" s="8" t="inlineStr">
        <is>
          <t>220 000 à 305 000 € pour 60 × 25 m (fiabilité faible).</t>
        </is>
      </c>
      <c r="J136" s="2" t="inlineStr">
        <is>
          <t>Jardins, terres, équipements, chevaux</t>
        </is>
      </c>
    </row>
    <row r="137">
      <c r="A137" s="2" t="inlineStr">
        <is>
          <t>manege_vie</t>
        </is>
      </c>
      <c r="B137" s="2" t="inlineStr">
        <is>
          <t>Durée de vie d'un manège</t>
        </is>
      </c>
      <c r="C137" s="14" t="n">
        <v>35</v>
      </c>
      <c r="D137" s="14" t="n">
        <v>30</v>
      </c>
      <c r="E137" s="14" t="n">
        <v>25</v>
      </c>
      <c r="F137" s="2" t="inlineStr">
        <is>
          <t>années</t>
        </is>
      </c>
      <c r="G137" s="12" t="inlineStr">
        <is>
          <t>SOURCÉ</t>
        </is>
      </c>
      <c r="H137" s="2" t="inlineStr">
        <is>
          <t>R2-27</t>
        </is>
      </c>
      <c r="I137" s="8" t="inlineStr">
        <is>
          <t>Acier galvanisé 30 à 40 ans ; bois 20 à 30 ans.</t>
        </is>
      </c>
      <c r="J137" s="2" t="inlineStr">
        <is>
          <t>Jardins, terres, équipements, chevaux</t>
        </is>
      </c>
    </row>
    <row r="138">
      <c r="A138" s="2" t="inlineStr">
        <is>
          <t>parc_ha</t>
        </is>
      </c>
      <c r="B138" s="2" t="inlineStr">
        <is>
          <t>Parc : fauche, élagage par arboriste, replantation (hors personnel)</t>
        </is>
      </c>
      <c r="C138" s="6" t="n">
        <v>500</v>
      </c>
      <c r="D138" s="6" t="n">
        <v>800</v>
      </c>
      <c r="E138" s="6" t="n">
        <v>1500</v>
      </c>
      <c r="F138" s="2" t="inlineStr">
        <is>
          <t>€/ha/an TTC</t>
        </is>
      </c>
      <c r="G138" s="7" t="inlineStr">
        <is>
          <t>HYPOTHÈSE</t>
        </is>
      </c>
      <c r="H138" s="2" t="inlineStr">
        <is>
          <t>R2</t>
        </is>
      </c>
      <c r="I138" s="8" t="inlineStr"/>
      <c r="J138" s="2" t="inlineStr">
        <is>
          <t>Jardins, terres, équipements, chevaux</t>
        </is>
      </c>
    </row>
    <row r="139">
      <c r="A139" s="2" t="inlineStr">
        <is>
          <t>prairie_ha</t>
        </is>
      </c>
      <c r="B139" s="2" t="inlineStr">
        <is>
          <t>Prairies : entretien hors récolte</t>
        </is>
      </c>
      <c r="C139" s="6" t="n">
        <v>120</v>
      </c>
      <c r="D139" s="6" t="n">
        <v>180</v>
      </c>
      <c r="E139" s="6" t="n">
        <v>250</v>
      </c>
      <c r="F139" s="2" t="inlineStr">
        <is>
          <t>€/ha/an</t>
        </is>
      </c>
      <c r="G139" s="11" t="inlineStr">
        <is>
          <t>ESTIMATION</t>
        </is>
      </c>
      <c r="H139" s="2" t="inlineStr">
        <is>
          <t>R2-17; R2-26</t>
        </is>
      </c>
      <c r="I139" s="8" t="inlineStr">
        <is>
          <t>Repères : 120 €/ha (2012, entretien par un professionnel) et 185 €/ha/an (2008, hors récolte).</t>
        </is>
      </c>
      <c r="J139" s="2" t="inlineStr">
        <is>
          <t>Jardins, terres, équipements, chevaux</t>
        </is>
      </c>
    </row>
    <row r="140">
      <c r="A140" s="2" t="inlineStr">
        <is>
          <t>sol_cout_m2</t>
        </is>
      </c>
      <c r="B140" s="2" t="inlineStr">
        <is>
          <t>Réfection des sols équestres (sable fibré, nivellement)</t>
        </is>
      </c>
      <c r="C140" s="6" t="n">
        <v>8</v>
      </c>
      <c r="D140" s="6" t="n">
        <v>12</v>
      </c>
      <c r="E140" s="6" t="n">
        <v>18</v>
      </c>
      <c r="F140" s="2" t="inlineStr">
        <is>
          <t>€/m²</t>
        </is>
      </c>
      <c r="G140" s="11" t="inlineStr">
        <is>
          <t>ESTIMATION</t>
        </is>
      </c>
      <c r="H140" s="2" t="inlineStr">
        <is>
          <t>R2-27</t>
        </is>
      </c>
      <c r="I140" s="8" t="inlineStr">
        <is>
          <t>Sable classique 3 à 8 €/m², fibré 10 à 15 €/m² (site commercial, fiabilité faible).</t>
        </is>
      </c>
      <c r="J140" s="2" t="inlineStr">
        <is>
          <t>Jardins, terres, équipements, chevaux</t>
        </is>
      </c>
    </row>
    <row r="141">
      <c r="A141" s="2" t="inlineStr">
        <is>
          <t>sol_vie</t>
        </is>
      </c>
      <c r="B141" s="2" t="inlineStr">
        <is>
          <t>Durée de vie d'un sol équestre</t>
        </is>
      </c>
      <c r="C141" s="14" t="n">
        <v>12</v>
      </c>
      <c r="D141" s="14" t="n">
        <v>10</v>
      </c>
      <c r="E141" s="14" t="n">
        <v>8</v>
      </c>
      <c r="F141" s="2" t="inlineStr">
        <is>
          <t>années</t>
        </is>
      </c>
      <c r="G141" s="7" t="inlineStr">
        <is>
          <t>HYPOTHÈSE</t>
        </is>
      </c>
      <c r="H141" s="2" t="inlineStr"/>
      <c r="I141" s="8" t="inlineStr">
        <is>
          <t>Durée de vie introuvable (R2).</t>
        </is>
      </c>
      <c r="J141" s="2" t="inlineStr">
        <is>
          <t>Jardins, terres, équipements, chevaux</t>
        </is>
      </c>
    </row>
    <row r="142">
      <c r="A142" s="2" t="inlineStr">
        <is>
          <t>tfnb_ha</t>
        </is>
      </c>
      <c r="B142" s="2" t="inlineStr">
        <is>
          <t>Taxe foncière sur le non bâti</t>
        </is>
      </c>
      <c r="C142" s="6" t="n">
        <v>6</v>
      </c>
      <c r="D142" s="6" t="n">
        <v>12</v>
      </c>
      <c r="E142" s="6" t="n">
        <v>25</v>
      </c>
      <c r="F142" s="2" t="inlineStr">
        <is>
          <t>€/ha/an</t>
        </is>
      </c>
      <c r="G142" s="7" t="inlineStr">
        <is>
          <t>HYPOTHÈSE</t>
        </is>
      </c>
      <c r="H142" s="2" t="inlineStr"/>
      <c r="I142" s="8" t="inlineStr">
        <is>
          <t>Aucune donnée trouvée ; exonérations partielles possibles pour les terres agricoles (à vérifier, R3).</t>
        </is>
      </c>
      <c r="J142" s="2" t="inlineStr">
        <is>
          <t>Jardins, terres, équipements, chevaux</t>
        </is>
      </c>
    </row>
    <row r="143">
      <c r="A143" s="5" t="inlineStr">
        <is>
          <t>— Moteurs — château-hôtel —</t>
        </is>
      </c>
    </row>
    <row r="144">
      <c r="A144" s="2" t="inlineStr">
        <is>
          <t>hot_autres_charges</t>
        </is>
      </c>
      <c r="B144" s="2" t="inlineStr">
        <is>
          <t>Château-hôtel : autres charges d'exploitation en % du CA</t>
        </is>
      </c>
      <c r="C144" s="9" t="n">
        <v>0.3</v>
      </c>
      <c r="D144" s="9" t="n">
        <v>0.35</v>
      </c>
      <c r="E144" s="9" t="n">
        <v>0.4</v>
      </c>
      <c r="F144" s="2" t="inlineStr">
        <is>
          <t>%</t>
        </is>
      </c>
      <c r="G144" s="7" t="inlineStr">
        <is>
          <t>HYPOTHÈSE</t>
        </is>
      </c>
      <c r="H144" s="2" t="inlineStr"/>
      <c r="I144" s="8" t="inlineStr"/>
      <c r="J144" s="2" t="inlineStr">
        <is>
          <t>Moteurs — château-hôtel</t>
        </is>
      </c>
    </row>
    <row r="145">
      <c r="A145" s="2" t="inlineStr">
        <is>
          <t>hot_autres_recettes</t>
        </is>
      </c>
      <c r="B145" s="2" t="inlineStr">
        <is>
          <t>Château-hôtel : autres recettes (restauration, événements) en % de l'hébergement</t>
        </is>
      </c>
      <c r="C145" s="9" t="n">
        <v>0.9</v>
      </c>
      <c r="D145" s="9" t="n">
        <v>0.6</v>
      </c>
      <c r="E145" s="9" t="n">
        <v>0.4</v>
      </c>
      <c r="F145" s="2" t="inlineStr">
        <is>
          <t>%</t>
        </is>
      </c>
      <c r="G145" s="7" t="inlineStr">
        <is>
          <t>HYPOTHÈSE</t>
        </is>
      </c>
      <c r="H145" s="2" t="inlineStr"/>
      <c r="I145" s="8" t="inlineStr"/>
      <c r="J145" s="2" t="inlineStr">
        <is>
          <t>Moteurs — château-hôtel</t>
        </is>
      </c>
    </row>
    <row r="146">
      <c r="A146" s="2" t="inlineStr">
        <is>
          <t>hot_capex_chambre</t>
        </is>
      </c>
      <c r="B146" s="2" t="inlineStr">
        <is>
          <t>Château-hôtel : investissement par chambre</t>
        </is>
      </c>
      <c r="C146" s="6" t="n">
        <v>350000</v>
      </c>
      <c r="D146" s="6" t="n">
        <v>500000</v>
      </c>
      <c r="E146" s="6" t="n">
        <v>700000</v>
      </c>
      <c r="F146" s="2" t="inlineStr">
        <is>
          <t>€/chambre</t>
        </is>
      </c>
      <c r="G146" s="12" t="inlineStr">
        <is>
          <t>SOURCÉ</t>
        </is>
      </c>
      <c r="H146" s="2" t="inlineStr">
        <is>
          <t>R7-41; R7-42; R7-43</t>
        </is>
      </c>
      <c r="I146" s="8" t="inlineStr"/>
      <c r="J146" s="2" t="inlineStr">
        <is>
          <t>Moteurs — château-hôtel</t>
        </is>
      </c>
    </row>
    <row r="147">
      <c r="A147" s="2" t="inlineStr">
        <is>
          <t>hot_chambres</t>
        </is>
      </c>
      <c r="B147" s="2" t="inlineStr">
        <is>
          <t>Château-hôtel : nombre de chambres</t>
        </is>
      </c>
      <c r="C147" s="14" t="n">
        <v>15</v>
      </c>
      <c r="D147" s="14" t="n">
        <v>15</v>
      </c>
      <c r="E147" s="14" t="n">
        <v>15</v>
      </c>
      <c r="F147" s="2" t="inlineStr">
        <is>
          <t>chambres</t>
        </is>
      </c>
      <c r="G147" s="7" t="inlineStr">
        <is>
          <t>HYPOTHÈSE</t>
        </is>
      </c>
      <c r="H147" s="2" t="inlineStr"/>
      <c r="I147" s="8" t="inlineStr"/>
      <c r="J147" s="2" t="inlineStr">
        <is>
          <t>Moteurs — château-hôtel</t>
        </is>
      </c>
    </row>
    <row r="148">
      <c r="A148" s="2" t="inlineStr">
        <is>
          <t>hot_cout_etp</t>
        </is>
      </c>
      <c r="B148" s="2" t="inlineStr">
        <is>
          <t>Château-hôtel : coût employeur moyen par ETP</t>
        </is>
      </c>
      <c r="C148" s="6" t="n">
        <v>34000</v>
      </c>
      <c r="D148" s="6" t="n">
        <v>38000</v>
      </c>
      <c r="E148" s="6" t="n">
        <v>42000</v>
      </c>
      <c r="F148" s="2" t="inlineStr">
        <is>
          <t>€/ETP/an</t>
        </is>
      </c>
      <c r="G148" s="11" t="inlineStr">
        <is>
          <t>ESTIMATION</t>
        </is>
      </c>
      <c r="H148" s="2" t="inlineStr">
        <is>
          <t>R2-11</t>
        </is>
      </c>
      <c r="I148" s="8" t="inlineStr">
        <is>
          <t>≈ 1,25 à 1,4 SMIC chargé.</t>
        </is>
      </c>
      <c r="J148" s="2" t="inlineStr">
        <is>
          <t>Moteurs — château-hôtel</t>
        </is>
      </c>
    </row>
    <row r="149">
      <c r="A149" s="2" t="inlineStr">
        <is>
          <t>hot_etp_chambre</t>
        </is>
      </c>
      <c r="B149" s="2" t="inlineStr">
        <is>
          <t>Château-hôtel : salariés par chambre</t>
        </is>
      </c>
      <c r="C149" s="14" t="n">
        <v>1.2</v>
      </c>
      <c r="D149" s="14" t="n">
        <v>1.65</v>
      </c>
      <c r="E149" s="14" t="n">
        <v>1.9</v>
      </c>
      <c r="F149" s="2" t="inlineStr">
        <is>
          <t>ETP/chambre</t>
        </is>
      </c>
      <c r="G149" s="12" t="inlineStr">
        <is>
          <t>SOURCÉ</t>
        </is>
      </c>
      <c r="H149" s="2" t="inlineStr">
        <is>
          <t>R7-41</t>
        </is>
      </c>
      <c r="I149" s="8" t="inlineStr">
        <is>
          <t>≈ 1,65 salarié par chambre (cas Louise de La Vallière).</t>
        </is>
      </c>
      <c r="J149" s="2" t="inlineStr">
        <is>
          <t>Moteurs — château-hôtel</t>
        </is>
      </c>
    </row>
    <row r="150">
      <c r="A150" s="2" t="inlineStr">
        <is>
          <t>hot_revpar</t>
        </is>
      </c>
      <c r="B150" s="2" t="inlineStr">
        <is>
          <t>Château-hôtel : revenu par chambre disponible (RevPAR) HT</t>
        </is>
      </c>
      <c r="C150" s="6" t="n">
        <v>184</v>
      </c>
      <c r="D150" s="6" t="n">
        <v>130</v>
      </c>
      <c r="E150" s="6" t="n">
        <v>102</v>
      </c>
      <c r="F150" s="2" t="inlineStr">
        <is>
          <t>€ HT/nuit</t>
        </is>
      </c>
      <c r="G150" s="12" t="inlineStr">
        <is>
          <t>SOURCÉ</t>
        </is>
      </c>
      <c r="H150" s="2" t="inlineStr">
        <is>
          <t>R7-38</t>
        </is>
      </c>
      <c r="I150" s="8" t="inlineStr">
        <is>
          <t>Haut de gamme 2025 : Indre-et-Loire 102 €, Gironde 146 €, Calvados 184 €.</t>
        </is>
      </c>
      <c r="J150" s="2" t="inlineStr">
        <is>
          <t>Moteurs — château-hôtel</t>
        </is>
      </c>
    </row>
    <row r="151">
      <c r="A151" s="5" t="inlineStr">
        <is>
          <t>— Moteurs — extérieurs —</t>
        </is>
      </c>
    </row>
    <row r="152">
      <c r="A152" s="2" t="inlineStr">
        <is>
          <t>dot_taux_net</t>
        </is>
      </c>
      <c r="B152" s="2" t="inlineStr">
        <is>
          <t>Dotation financière : taux de retrait réel net d'impôt soutenable</t>
        </is>
      </c>
      <c r="C152" s="9" t="n">
        <v>0.03</v>
      </c>
      <c r="D152" s="9" t="n">
        <v>0.0275</v>
      </c>
      <c r="E152" s="9" t="n">
        <v>0.025</v>
      </c>
      <c r="F152" s="2" t="inlineStr">
        <is>
          <t>% du capital</t>
        </is>
      </c>
      <c r="G152" s="11" t="inlineStr">
        <is>
          <t>ESTIMATION</t>
        </is>
      </c>
      <c r="H152" s="2" t="inlineStr">
        <is>
          <t>R8-31; R8-32; R8-34</t>
        </is>
      </c>
      <c r="I152" s="8" t="inlineStr">
        <is>
          <t>Dotations américaines (exonérées) : 4,9 % ; actions mondiales : 3,5 % réel par an depuis 2000 ; fiscalité française de 31,4 % sur les revenus nominaux. Fourchette de R8 : 2,5 à 3 %.</t>
        </is>
      </c>
      <c r="J152" s="2" t="inlineStr">
        <is>
          <t>Moteurs — extérieurs</t>
        </is>
      </c>
    </row>
    <row r="153">
      <c r="A153" s="2" t="inlineStr">
        <is>
          <t>ent_conversion</t>
        </is>
      </c>
      <c r="B153" s="2" t="inlineStr">
        <is>
          <t>Entreprise extérieure : dividende net par euro d'EBITDA</t>
        </is>
      </c>
      <c r="C153" s="6" t="n">
        <v>0.45</v>
      </c>
      <c r="D153" s="6" t="n">
        <v>0.396</v>
      </c>
      <c r="E153" s="6" t="n">
        <v>0.33</v>
      </c>
      <c r="F153" s="2" t="inlineStr">
        <is>
          <t>€/€</t>
        </is>
      </c>
      <c r="G153" s="11" t="inlineStr">
        <is>
          <t>ESTIMATION</t>
        </is>
      </c>
      <c r="H153" s="2" t="inlineStr">
        <is>
          <t>R3-16; R3-20; R8-35</t>
        </is>
      </c>
      <c r="I153" s="8" t="inlineStr">
        <is>
          <t>EBITDA → résultat avant impôt ≈ 0,77 (hypothèse de R8) × (1 − IS 25 %) × (1 − PFU 31,4 %).</t>
        </is>
      </c>
      <c r="J153" s="2" t="inlineStr">
        <is>
          <t>Moteurs — extérieurs</t>
        </is>
      </c>
    </row>
    <row r="154">
      <c r="A154" s="5" t="inlineStr">
        <is>
          <t>— Moteurs — foncier, énergie —</t>
        </is>
      </c>
    </row>
    <row r="155">
      <c r="A155" s="2" t="inlineStr">
        <is>
          <t>bois_net_ha</t>
        </is>
      </c>
      <c r="B155" s="2" t="inlineStr">
        <is>
          <t>Forêt : revenu net des coupes</t>
        </is>
      </c>
      <c r="C155" s="6" t="n">
        <v>100</v>
      </c>
      <c r="D155" s="6" t="n">
        <v>75</v>
      </c>
      <c r="E155" s="6" t="n">
        <v>50</v>
      </c>
      <c r="F155" s="2" t="inlineStr">
        <is>
          <t>€/ha/an</t>
        </is>
      </c>
      <c r="G155" s="7" t="inlineStr">
        <is>
          <t>HYPOTHÈSE</t>
        </is>
      </c>
      <c r="H155" s="2" t="inlineStr">
        <is>
          <t>R8-04; R8-05</t>
        </is>
      </c>
      <c r="I155" s="8" t="inlineStr">
        <is>
          <t>Revenu net introuvable ; hypothèse de R8. Prix : forêt 4 950 €/ha, chêne −17 % en 2025.</t>
        </is>
      </c>
      <c r="J155" s="2" t="inlineStr">
        <is>
          <t>Moteurs — foncier, énergie</t>
        </is>
      </c>
    </row>
    <row r="156">
      <c r="A156" s="2" t="inlineStr">
        <is>
          <t>pv_ha</t>
        </is>
      </c>
      <c r="B156" s="2" t="inlineStr">
        <is>
          <t>Solaire au sol ou agrivoltaïque hors champ de visibilité : surface louée</t>
        </is>
      </c>
      <c r="C156" s="14" t="n">
        <v>10</v>
      </c>
      <c r="D156" s="14" t="n">
        <v>5</v>
      </c>
      <c r="E156" s="14" t="n">
        <v>0</v>
      </c>
      <c r="F156" s="2" t="inlineStr">
        <is>
          <t>ha</t>
        </is>
      </c>
      <c r="G156" s="7" t="inlineStr">
        <is>
          <t>HYPOTHÈSE</t>
        </is>
      </c>
      <c r="H156" s="2" t="inlineStr">
        <is>
          <t>R3-63; R3-44</t>
        </is>
      </c>
      <c r="I156" s="8" t="inlineStr">
        <is>
          <t>Défavorable = refus (abords d'un MH : permis et accord de l'ABF dès 3 kW ; loi APER).</t>
        </is>
      </c>
      <c r="J156" s="2" t="inlineStr">
        <is>
          <t>Moteurs — foncier, énergie</t>
        </is>
      </c>
    </row>
    <row r="157">
      <c r="A157" s="2" t="inlineStr">
        <is>
          <t>pv_loyer_ha</t>
        </is>
      </c>
      <c r="B157" s="2" t="inlineStr">
        <is>
          <t>Loyer d'une centrale solaire au sol</t>
        </is>
      </c>
      <c r="C157" s="6" t="n">
        <v>6000</v>
      </c>
      <c r="D157" s="6" t="n">
        <v>3000</v>
      </c>
      <c r="E157" s="6" t="n">
        <v>1500</v>
      </c>
      <c r="F157" s="2" t="inlineStr">
        <is>
          <t>€/ha/an</t>
        </is>
      </c>
      <c r="G157" s="11" t="inlineStr">
        <is>
          <t>ESTIMATION</t>
        </is>
      </c>
      <c r="H157" s="2" t="inlineStr">
        <is>
          <t>R8-01</t>
        </is>
      </c>
      <c r="I157" s="8" t="inlineStr">
        <is>
          <t>1 500 à 6 000 €/ha/an : sources commerciales, fiabilité faible.</t>
        </is>
      </c>
      <c r="J157" s="2" t="inlineStr">
        <is>
          <t>Moteurs — foncier, énergie</t>
        </is>
      </c>
    </row>
    <row r="158">
      <c r="A158" s="5" t="inlineStr">
        <is>
          <t>— Moteurs — équestre —</t>
        </is>
      </c>
    </row>
    <row r="159">
      <c r="A159" s="2" t="inlineStr">
        <is>
          <t>eq_hdg_boxes</t>
        </is>
      </c>
      <c r="B159" s="2" t="inlineStr">
        <is>
          <t>Pension haut de gamme : boxes proposés en pension</t>
        </is>
      </c>
      <c r="C159" s="14" t="n">
        <v>30</v>
      </c>
      <c r="D159" s="14" t="n">
        <v>30</v>
      </c>
      <c r="E159" s="14" t="n">
        <v>30</v>
      </c>
      <c r="F159" s="2" t="inlineStr">
        <is>
          <t>boxes</t>
        </is>
      </c>
      <c r="G159" s="7" t="inlineStr">
        <is>
          <t>HYPOTHÈSE</t>
        </is>
      </c>
      <c r="H159" s="2" t="inlineStr"/>
      <c r="I159" s="8" t="inlineStr"/>
      <c r="J159" s="2" t="inlineStr">
        <is>
          <t>Moteurs — équestre</t>
        </is>
      </c>
    </row>
    <row r="160">
      <c r="A160" s="2" t="inlineStr">
        <is>
          <t>eq_hdg_cout_fixe</t>
        </is>
      </c>
      <c r="B160" s="2" t="inlineStr">
        <is>
          <t>Pension haut de gamme : structure et travail par box</t>
        </is>
      </c>
      <c r="C160" s="6" t="n">
        <v>4300</v>
      </c>
      <c r="D160" s="6" t="n">
        <v>4545</v>
      </c>
      <c r="E160" s="6" t="n">
        <v>5300</v>
      </c>
      <c r="F160" s="2" t="inlineStr">
        <is>
          <t>€/box/an</t>
        </is>
      </c>
      <c r="G160" s="11" t="inlineStr">
        <is>
          <t>ESTIMATION</t>
        </is>
      </c>
      <c r="H160" s="2" t="inlineStr">
        <is>
          <t>R6-03</t>
        </is>
      </c>
      <c r="I160" s="8" t="inlineStr">
        <is>
          <t>(2 836 € de structure + 1 082 € de travail non salarié valorisé) × 1,16.</t>
        </is>
      </c>
      <c r="J160" s="2" t="inlineStr">
        <is>
          <t>Moteurs — équestre</t>
        </is>
      </c>
    </row>
    <row r="161">
      <c r="A161" s="2" t="inlineStr">
        <is>
          <t>eq_hdg_cout_var</t>
        </is>
      </c>
      <c r="B161" s="2" t="inlineStr">
        <is>
          <t>Pension haut de gamme : charges opérationnelles par cheval présent</t>
        </is>
      </c>
      <c r="C161" s="6" t="n">
        <v>2122</v>
      </c>
      <c r="D161" s="6" t="n">
        <v>2238</v>
      </c>
      <c r="E161" s="6" t="n">
        <v>2500</v>
      </c>
      <c r="F161" s="2" t="inlineStr">
        <is>
          <t>€/cheval/an</t>
        </is>
      </c>
      <c r="G161" s="11" t="inlineStr">
        <is>
          <t>ESTIMATION</t>
        </is>
      </c>
      <c r="H161" s="2" t="inlineStr">
        <is>
          <t>R6-03</t>
        </is>
      </c>
      <c r="I161" s="8" t="inlineStr">
        <is>
          <t>1 929 € en 2021 (pensions travail) × 1,16.</t>
        </is>
      </c>
      <c r="J161" s="2" t="inlineStr">
        <is>
          <t>Moteurs — équestre</t>
        </is>
      </c>
    </row>
    <row r="162">
      <c r="A162" s="2" t="inlineStr">
        <is>
          <t>eq_hdg_occ</t>
        </is>
      </c>
      <c r="B162" s="2" t="inlineStr">
        <is>
          <t>Pension haut de gamme : taux d'occupation</t>
        </is>
      </c>
      <c r="C162" s="9" t="n">
        <v>0.92</v>
      </c>
      <c r="D162" s="9" t="n">
        <v>0.85</v>
      </c>
      <c r="E162" s="9" t="n">
        <v>0.7</v>
      </c>
      <c r="F162" s="2" t="inlineStr">
        <is>
          <t>%</t>
        </is>
      </c>
      <c r="G162" s="7" t="inlineStr">
        <is>
          <t>HYPOTHÈSE</t>
        </is>
      </c>
      <c r="H162" s="2" t="inlineStr">
        <is>
          <t>R6-16</t>
        </is>
      </c>
      <c r="I162" s="8" t="inlineStr"/>
      <c r="J162" s="2" t="inlineStr">
        <is>
          <t>Moteurs — équestre</t>
        </is>
      </c>
    </row>
    <row r="163">
      <c r="A163" s="2" t="inlineStr">
        <is>
          <t>eq_hdg_prix_ht</t>
        </is>
      </c>
      <c r="B163" s="2" t="inlineStr">
        <is>
          <t>Pension haut de gamme : prix mensuel HT</t>
        </is>
      </c>
      <c r="C163" s="6" t="n">
        <v>874</v>
      </c>
      <c r="D163" s="6" t="n">
        <v>700</v>
      </c>
      <c r="E163" s="6" t="n">
        <v>450</v>
      </c>
      <c r="F163" s="2" t="inlineStr">
        <is>
          <t>€ HT/mois</t>
        </is>
      </c>
      <c r="G163" s="11" t="inlineStr">
        <is>
          <t>ESTIMATION</t>
        </is>
      </c>
      <c r="H163" s="2" t="inlineStr">
        <is>
          <t>R6-15; R3-22</t>
        </is>
      </c>
      <c r="I163" s="8" t="inlineStr">
        <is>
          <t>Haras de Jardy (10 km de Paris) : 922,50 € TTC, soit 874 € HT à 5,5 % (pension accessoire à la pratique de l'équitation). Valeur centrale abaissée pour un domaine à 1 h-1 h 30 d'une métropole. Demande haut de gamme hors Île-de-France : non prouvée.</t>
        </is>
      </c>
      <c r="J163" s="2" t="inlineStr">
        <is>
          <t>Moteurs — équestre</t>
        </is>
      </c>
    </row>
    <row r="164">
      <c r="A164" s="2" t="inlineStr">
        <is>
          <t>eq_pro_boxes</t>
        </is>
      </c>
      <c r="B164" s="2" t="inlineStr">
        <is>
          <t>Écuries louées à un professionnel : boxes</t>
        </is>
      </c>
      <c r="C164" s="14" t="n">
        <v>20</v>
      </c>
      <c r="D164" s="14" t="n">
        <v>20</v>
      </c>
      <c r="E164" s="14" t="n">
        <v>20</v>
      </c>
      <c r="F164" s="2" t="inlineStr">
        <is>
          <t>boxes</t>
        </is>
      </c>
      <c r="G164" s="7" t="inlineStr">
        <is>
          <t>HYPOTHÈSE</t>
        </is>
      </c>
      <c r="H164" s="2" t="inlineStr"/>
      <c r="I164" s="8" t="inlineStr"/>
      <c r="J164" s="2" t="inlineStr">
        <is>
          <t>Moteurs — équestre</t>
        </is>
      </c>
    </row>
    <row r="165">
      <c r="A165" s="2" t="inlineStr">
        <is>
          <t>eq_pro_cout_box</t>
        </is>
      </c>
      <c r="B165" s="2" t="inlineStr">
        <is>
          <t>Écuries louées : charges résiduelles du bailleur par box</t>
        </is>
      </c>
      <c r="C165" s="6" t="n">
        <v>100</v>
      </c>
      <c r="D165" s="6" t="n">
        <v>150</v>
      </c>
      <c r="E165" s="6" t="n">
        <v>250</v>
      </c>
      <c r="F165" s="2" t="inlineStr">
        <is>
          <t>€/box/an</t>
        </is>
      </c>
      <c r="G165" s="7" t="inlineStr">
        <is>
          <t>HYPOTHÈSE</t>
        </is>
      </c>
      <c r="H165" s="2" t="inlineStr"/>
      <c r="I165" s="8" t="inlineStr"/>
      <c r="J165" s="2" t="inlineStr">
        <is>
          <t>Moteurs — équestre</t>
        </is>
      </c>
    </row>
    <row r="166">
      <c r="A166" s="2" t="inlineStr">
        <is>
          <t>eq_pro_loyer_box</t>
        </is>
      </c>
      <c r="B166" s="2" t="inlineStr">
        <is>
          <t>Redevance annuelle par box louée à un professionnel</t>
        </is>
      </c>
      <c r="C166" s="6" t="n">
        <v>1176</v>
      </c>
      <c r="D166" s="6" t="n">
        <v>600</v>
      </c>
      <c r="E166" s="6" t="n">
        <v>0</v>
      </c>
      <c r="F166" s="2" t="inlineStr">
        <is>
          <t>€/box/an</t>
        </is>
      </c>
      <c r="G166" s="11" t="inlineStr">
        <is>
          <t>ESTIMATION</t>
        </is>
      </c>
      <c r="H166" s="2" t="inlineStr">
        <is>
          <t>R6-25; R6-17</t>
        </is>
      </c>
      <c r="I166" s="8" t="inlineStr">
        <is>
          <t>Plafond observé : 80 000 €/an pour 68 boxes à Paris (≈ 1 176 €/box). Rural : inconnu, moitié retenue. Défavorable = départ du locataire (Lamballe 2025). Risque de requalification en bail rural (R3).</t>
        </is>
      </c>
      <c r="J166" s="2" t="inlineStr">
        <is>
          <t>Moteurs — équestre</t>
        </is>
      </c>
    </row>
    <row r="167">
      <c r="A167" s="2" t="inlineStr">
        <is>
          <t>eq_ret_chevaux</t>
        </is>
      </c>
      <c r="B167" s="2" t="inlineStr">
        <is>
          <t>Pension retraite au pré : chevaux accueillis</t>
        </is>
      </c>
      <c r="C167" s="14" t="n">
        <v>30</v>
      </c>
      <c r="D167" s="14" t="n">
        <v>30</v>
      </c>
      <c r="E167" s="14" t="n">
        <v>30</v>
      </c>
      <c r="F167" s="2" t="inlineStr">
        <is>
          <t>chevaux</t>
        </is>
      </c>
      <c r="G167" s="7" t="inlineStr">
        <is>
          <t>HYPOTHÈSE</t>
        </is>
      </c>
      <c r="H167" s="2" t="inlineStr"/>
      <c r="I167" s="8" t="inlineStr"/>
      <c r="J167" s="2" t="inlineStr">
        <is>
          <t>Moteurs — équestre</t>
        </is>
      </c>
    </row>
    <row r="168">
      <c r="A168" s="2" t="inlineStr">
        <is>
          <t>eq_ret_cout</t>
        </is>
      </c>
      <c r="B168" s="2" t="inlineStr">
        <is>
          <t>Pension retraite : coût par cheval présent (travail, foin d'hiver, clôtures, divers)</t>
        </is>
      </c>
      <c r="C168" s="6" t="n">
        <v>1500</v>
      </c>
      <c r="D168" s="6" t="n">
        <v>1800</v>
      </c>
      <c r="E168" s="6" t="n">
        <v>2100</v>
      </c>
      <c r="F168" s="2" t="inlineStr">
        <is>
          <t>€/cheval/an</t>
        </is>
      </c>
      <c r="G168" s="11" t="inlineStr">
        <is>
          <t>ESTIMATION</t>
        </is>
      </c>
      <c r="H168" s="2" t="inlineStr">
        <is>
          <t>R6-16; R2-21; R2-11</t>
        </is>
      </c>
      <c r="I168" s="8" t="inlineStr">
        <is>
          <t>4,8 h de travail par cheval et par mois (IFCE) à ≈ 25 €/h chargé, plus ≈ 1 t de foin.</t>
        </is>
      </c>
      <c r="J168" s="2" t="inlineStr">
        <is>
          <t>Moteurs — équestre</t>
        </is>
      </c>
    </row>
    <row r="169">
      <c r="A169" s="2" t="inlineStr">
        <is>
          <t>eq_ret_occ</t>
        </is>
      </c>
      <c r="B169" s="2" t="inlineStr">
        <is>
          <t>Pension retraite : taux d'occupation</t>
        </is>
      </c>
      <c r="C169" s="9" t="n">
        <v>0.92</v>
      </c>
      <c r="D169" s="9" t="n">
        <v>0.85</v>
      </c>
      <c r="E169" s="9" t="n">
        <v>0.7</v>
      </c>
      <c r="F169" s="2" t="inlineStr">
        <is>
          <t>%</t>
        </is>
      </c>
      <c r="G169" s="7" t="inlineStr">
        <is>
          <t>HYPOTHÈSE</t>
        </is>
      </c>
      <c r="H169" s="2" t="inlineStr">
        <is>
          <t>R6-16</t>
        </is>
      </c>
      <c r="I169" s="8" t="inlineStr">
        <is>
          <t>22 000 places vacantes en France (2019).</t>
        </is>
      </c>
      <c r="J169" s="2" t="inlineStr">
        <is>
          <t>Moteurs — équestre</t>
        </is>
      </c>
    </row>
    <row r="170">
      <c r="A170" s="2" t="inlineStr">
        <is>
          <t>eq_ret_prix_ht</t>
        </is>
      </c>
      <c r="B170" s="2" t="inlineStr">
        <is>
          <t>Pension retraite au pré : prix mensuel HT</t>
        </is>
      </c>
      <c r="C170" s="6" t="n">
        <v>220</v>
      </c>
      <c r="D170" s="6" t="n">
        <v>183</v>
      </c>
      <c r="E170" s="6" t="n">
        <v>150</v>
      </c>
      <c r="F170" s="2" t="inlineStr">
        <is>
          <t>€ HT/mois</t>
        </is>
      </c>
      <c r="G170" s="11" t="inlineStr">
        <is>
          <t>ESTIMATION</t>
        </is>
      </c>
      <c r="H170" s="2" t="inlineStr">
        <is>
          <t>R6-16; R3-22</t>
        </is>
      </c>
      <c r="I170" s="8" t="inlineStr">
        <is>
          <t>« Pré été / rentré hiver » 220 €/mois (IFCE 2019, TTC probable) ; TVA 20 % pour la pension retraite.</t>
        </is>
      </c>
      <c r="J170" s="2" t="inlineStr">
        <is>
          <t>Moteurs — équestre</t>
        </is>
      </c>
    </row>
    <row r="171">
      <c r="A171" s="2" t="inlineStr">
        <is>
          <t>eq_std_boxes</t>
        </is>
      </c>
      <c r="B171" s="2" t="inlineStr">
        <is>
          <t>Pension standard : boxes proposés en pension</t>
        </is>
      </c>
      <c r="C171" s="14" t="n">
        <v>30</v>
      </c>
      <c r="D171" s="14" t="n">
        <v>30</v>
      </c>
      <c r="E171" s="14" t="n">
        <v>30</v>
      </c>
      <c r="F171" s="2" t="inlineStr">
        <is>
          <t>boxes</t>
        </is>
      </c>
      <c r="G171" s="7" t="inlineStr">
        <is>
          <t>HYPOTHÈSE</t>
        </is>
      </c>
      <c r="H171" s="2" t="inlineStr"/>
      <c r="I171" s="8" t="inlineStr">
        <is>
          <t>Capacité excédentaire d'un domaine S2 (40 boxes, dont 8 pour les chevaux du propriétaire).</t>
        </is>
      </c>
      <c r="J171" s="2" t="inlineStr">
        <is>
          <t>Moteurs — équestre</t>
        </is>
      </c>
    </row>
    <row r="172">
      <c r="A172" s="2" t="inlineStr">
        <is>
          <t>eq_std_cout_fixe</t>
        </is>
      </c>
      <c r="B172" s="2" t="inlineStr">
        <is>
          <t>Pension standard : structure et travail par box (personnel compris)</t>
        </is>
      </c>
      <c r="C172" s="6" t="n">
        <v>2862</v>
      </c>
      <c r="D172" s="6" t="n">
        <v>3018</v>
      </c>
      <c r="E172" s="6" t="n">
        <v>3600</v>
      </c>
      <c r="F172" s="2" t="inlineStr">
        <is>
          <t>€/box/an</t>
        </is>
      </c>
      <c r="G172" s="11" t="inlineStr">
        <is>
          <t>ESTIMATION</t>
        </is>
      </c>
      <c r="H172" s="2" t="inlineStr">
        <is>
          <t>R6-03; R6-02</t>
        </is>
      </c>
      <c r="I172" s="8" t="inlineStr">
        <is>
          <t>(1 449 € de structure + 1 153 € de travail non salarié valorisé) × 1,16. Le travail est payé.</t>
        </is>
      </c>
      <c r="J172" s="2" t="inlineStr">
        <is>
          <t>Moteurs — équestre</t>
        </is>
      </c>
    </row>
    <row r="173">
      <c r="A173" s="2" t="inlineStr">
        <is>
          <t>eq_std_cout_var</t>
        </is>
      </c>
      <c r="B173" s="2" t="inlineStr">
        <is>
          <t>Pension standard : charges opérationnelles par cheval présent</t>
        </is>
      </c>
      <c r="C173" s="6" t="n">
        <v>847</v>
      </c>
      <c r="D173" s="6" t="n">
        <v>893</v>
      </c>
      <c r="E173" s="6" t="n">
        <v>1000</v>
      </c>
      <c r="F173" s="2" t="inlineStr">
        <is>
          <t>€/cheval/an</t>
        </is>
      </c>
      <c r="G173" s="11" t="inlineStr">
        <is>
          <t>ESTIMATION</t>
        </is>
      </c>
      <c r="H173" s="2" t="inlineStr">
        <is>
          <t>R6-03</t>
        </is>
      </c>
      <c r="I173" s="8" t="inlineStr">
        <is>
          <t>770 € en 2021 (Réseau Équin, pensions hébergement) × 1,16 d'inflation 2021-2026.</t>
        </is>
      </c>
      <c r="J173" s="2" t="inlineStr">
        <is>
          <t>Moteurs — équestre</t>
        </is>
      </c>
    </row>
    <row r="174">
      <c r="A174" s="2" t="inlineStr">
        <is>
          <t>eq_std_occ</t>
        </is>
      </c>
      <c r="B174" s="2" t="inlineStr">
        <is>
          <t>Pension standard : taux d'occupation</t>
        </is>
      </c>
      <c r="C174" s="9" t="n">
        <v>0.92</v>
      </c>
      <c r="D174" s="9" t="n">
        <v>0.85</v>
      </c>
      <c r="E174" s="9" t="n">
        <v>0.75</v>
      </c>
      <c r="F174" s="2" t="inlineStr">
        <is>
          <t>%</t>
        </is>
      </c>
      <c r="G174" s="7" t="inlineStr">
        <is>
          <t>HYPOTHÈSE</t>
        </is>
      </c>
      <c r="H174" s="2" t="inlineStr">
        <is>
          <t>R6-16</t>
        </is>
      </c>
      <c r="I174" s="8" t="inlineStr">
        <is>
          <t>Vacance moyenne de 5 places sur 30 à 35 en pension retraite (IFCE, 2019).</t>
        </is>
      </c>
      <c r="J174" s="2" t="inlineStr">
        <is>
          <t>Moteurs — équestre</t>
        </is>
      </c>
    </row>
    <row r="175">
      <c r="A175" s="2" t="inlineStr">
        <is>
          <t>eq_std_prix_ht</t>
        </is>
      </c>
      <c r="B175" s="2" t="inlineStr">
        <is>
          <t>Pension standard (box hébergement) : prix mensuel HT</t>
        </is>
      </c>
      <c r="C175" s="6" t="n">
        <v>401</v>
      </c>
      <c r="D175" s="6" t="n">
        <v>368</v>
      </c>
      <c r="E175" s="6" t="n">
        <v>334</v>
      </c>
      <c r="F175" s="2" t="inlineStr">
        <is>
          <t>€ HT/mois</t>
        </is>
      </c>
      <c r="G175" s="12" t="inlineStr">
        <is>
          <t>SOURCÉ</t>
        </is>
      </c>
      <c r="H175" s="2" t="inlineStr">
        <is>
          <t>R6-02</t>
        </is>
      </c>
      <c r="I175" s="8" t="inlineStr">
        <is>
          <t>Cas-types 2025 du Réseau Équin : 334 € HT (périurbain) et 401 € HT (compétition).</t>
        </is>
      </c>
      <c r="J175" s="2" t="inlineStr">
        <is>
          <t>Moteurs — équestre</t>
        </is>
      </c>
    </row>
    <row r="176">
      <c r="A176" s="2" t="inlineStr">
        <is>
          <t>repro_contrib</t>
        </is>
      </c>
      <c r="B176" s="2" t="inlineStr">
        <is>
          <t>Centre de reproduction (si vétérinaire et étalon disponibles) : contribution nette</t>
        </is>
      </c>
      <c r="C176" s="6" t="n">
        <v>30000</v>
      </c>
      <c r="D176" s="6" t="n">
        <v>21100</v>
      </c>
      <c r="E176" s="6" t="n">
        <v>0</v>
      </c>
      <c r="F176" s="2" t="inlineStr">
        <is>
          <t>€/an</t>
        </is>
      </c>
      <c r="G176" s="11" t="inlineStr">
        <is>
          <t>ESTIMATION</t>
        </is>
      </c>
      <c r="H176" s="2" t="inlineStr">
        <is>
          <t>R6-26</t>
        </is>
      </c>
      <c r="I176" s="8" t="inlineStr">
        <is>
          <t>EBE 74 449 € (Haras du Rond Pré, 2022) moins 1,8 UMO d'exploitants valorisées. Astreinte de 6 mois.</t>
        </is>
      </c>
      <c r="J176" s="2" t="inlineStr">
        <is>
          <t>Moteurs — équestre</t>
        </is>
      </c>
    </row>
    <row r="177">
      <c r="A177" s="5" t="inlineStr">
        <is>
          <t>— Moteurs — événements et hébergement —</t>
        </is>
      </c>
    </row>
    <row r="178">
      <c r="A178" s="2" t="inlineStr">
        <is>
          <t>auto_capex</t>
        </is>
      </c>
      <c r="B178" s="2" t="inlineStr">
        <is>
          <t>Gardiennage de voitures : alarme, vidéo, déshumidification, sol</t>
        </is>
      </c>
      <c r="C178" s="6" t="n">
        <v>60000</v>
      </c>
      <c r="D178" s="6" t="n">
        <v>60000</v>
      </c>
      <c r="E178" s="6" t="n">
        <v>60000</v>
      </c>
      <c r="F178" s="2" t="inlineStr">
        <is>
          <t>€</t>
        </is>
      </c>
      <c r="G178" s="7" t="inlineStr">
        <is>
          <t>HYPOTHÈSE</t>
        </is>
      </c>
      <c r="H178" s="2" t="inlineStr"/>
      <c r="I178" s="8" t="inlineStr"/>
      <c r="J178" s="2" t="inlineStr">
        <is>
          <t>Moteurs — événements et hébergement</t>
        </is>
      </c>
    </row>
    <row r="179">
      <c r="A179" s="2" t="inlineStr">
        <is>
          <t>auto_fixe</t>
        </is>
      </c>
      <c r="B179" s="2" t="inlineStr">
        <is>
          <t>Gardiennage de voitures : sécurité, assurance du dépositaire, temps de présence</t>
        </is>
      </c>
      <c r="C179" s="6" t="n">
        <v>9000</v>
      </c>
      <c r="D179" s="6" t="n">
        <v>12000</v>
      </c>
      <c r="E179" s="6" t="n">
        <v>15000</v>
      </c>
      <c r="F179" s="2" t="inlineStr">
        <is>
          <t>€/an</t>
        </is>
      </c>
      <c r="G179" s="7" t="inlineStr">
        <is>
          <t>HYPOTHÈSE</t>
        </is>
      </c>
      <c r="H179" s="2" t="inlineStr"/>
      <c r="I179" s="8" t="inlineStr"/>
      <c r="J179" s="2" t="inlineStr">
        <is>
          <t>Moteurs — événements et hébergement</t>
        </is>
      </c>
    </row>
    <row r="180">
      <c r="A180" s="2" t="inlineStr">
        <is>
          <t>auto_occ</t>
        </is>
      </c>
      <c r="B180" s="2" t="inlineStr">
        <is>
          <t>Gardiennage de voitures : taux de remplissage</t>
        </is>
      </c>
      <c r="C180" s="9" t="n">
        <v>0.9</v>
      </c>
      <c r="D180" s="9" t="n">
        <v>0.6</v>
      </c>
      <c r="E180" s="9" t="n">
        <v>0.2</v>
      </c>
      <c r="F180" s="2" t="inlineStr">
        <is>
          <t>%</t>
        </is>
      </c>
      <c r="G180" s="7" t="inlineStr">
        <is>
          <t>HYPOTHÈSE</t>
        </is>
      </c>
      <c r="H180" s="2" t="inlineStr"/>
      <c r="I180" s="8" t="inlineStr"/>
      <c r="J180" s="2" t="inlineStr">
        <is>
          <t>Moteurs — événements et hébergement</t>
        </is>
      </c>
    </row>
    <row r="181">
      <c r="A181" s="2" t="inlineStr">
        <is>
          <t>auto_places</t>
        </is>
      </c>
      <c r="B181" s="2" t="inlineStr">
        <is>
          <t>Gardiennage de voitures de collection (600 m²) : places</t>
        </is>
      </c>
      <c r="C181" s="14" t="n">
        <v>18</v>
      </c>
      <c r="D181" s="14" t="n">
        <v>18</v>
      </c>
      <c r="E181" s="14" t="n">
        <v>18</v>
      </c>
      <c r="F181" s="2" t="inlineStr">
        <is>
          <t>places</t>
        </is>
      </c>
      <c r="G181" s="7" t="inlineStr">
        <is>
          <t>HYPOTHÈSE</t>
        </is>
      </c>
      <c r="H181" s="2" t="inlineStr"/>
      <c r="I181" s="8" t="inlineStr"/>
      <c r="J181" s="2" t="inlineStr">
        <is>
          <t>Moteurs — événements et hébergement</t>
        </is>
      </c>
    </row>
    <row r="182">
      <c r="A182" s="2" t="inlineStr">
        <is>
          <t>auto_prix</t>
        </is>
      </c>
      <c r="B182" s="2" t="inlineStr">
        <is>
          <t>Gardiennage de voiture de collection : prix annuel HT</t>
        </is>
      </c>
      <c r="C182" s="6" t="n">
        <v>2400</v>
      </c>
      <c r="D182" s="6" t="n">
        <v>2000</v>
      </c>
      <c r="E182" s="6" t="n">
        <v>1500</v>
      </c>
      <c r="F182" s="2" t="inlineStr">
        <is>
          <t>€ HT/an</t>
        </is>
      </c>
      <c r="G182" s="11" t="inlineStr">
        <is>
          <t>ESTIMATION</t>
        </is>
      </c>
      <c r="H182" s="2" t="inlineStr">
        <is>
          <t>R8-18</t>
        </is>
      </c>
      <c r="I182" s="8" t="inlineStr">
        <is>
          <t>≈ 200 €/mois en Belgique (2026). Demande rurale française non démontrée.</t>
        </is>
      </c>
      <c r="J182" s="2" t="inlineStr">
        <is>
          <t>Moteurs — événements et hébergement</t>
        </is>
      </c>
    </row>
    <row r="183">
      <c r="A183" s="2" t="inlineStr">
        <is>
          <t>evt_capex</t>
        </is>
      </c>
      <c r="B183" s="2" t="inlineStr">
        <is>
          <t>Réceptions : salle ERP dans une grange (aménagement, sanitaires, parking, acoustique)</t>
        </is>
      </c>
      <c r="C183" s="6" t="n">
        <v>250000</v>
      </c>
      <c r="D183" s="6" t="n">
        <v>400000</v>
      </c>
      <c r="E183" s="6" t="n">
        <v>600000</v>
      </c>
      <c r="F183" s="2" t="inlineStr">
        <is>
          <t>€</t>
        </is>
      </c>
      <c r="G183" s="7" t="inlineStr">
        <is>
          <t>HYPOTHÈSE</t>
        </is>
      </c>
      <c r="H183" s="2" t="inlineStr">
        <is>
          <t>R4-52; R8-24; R3-38</t>
        </is>
      </c>
      <c r="I183" s="8" t="inlineStr">
        <is>
          <t>Cas réel : plus de 100 000 € de mise aux normes ERP pour une salle de 98 m². Transformation d'une grange : ≈ 1 556 €/m² HT (logement).</t>
        </is>
      </c>
      <c r="J183" s="2" t="inlineStr">
        <is>
          <t>Moteurs — événements et hébergement</t>
        </is>
      </c>
    </row>
    <row r="184">
      <c r="A184" s="2" t="inlineStr">
        <is>
          <t>evt_fixe</t>
        </is>
      </c>
      <c r="B184" s="2" t="inlineStr">
        <is>
          <t>Réceptions : charges fixes (coordination 0,5 ETP, marketing, acoustique, assurance)</t>
        </is>
      </c>
      <c r="C184" s="6" t="n">
        <v>22000</v>
      </c>
      <c r="D184" s="6" t="n">
        <v>30000</v>
      </c>
      <c r="E184" s="6" t="n">
        <v>40000</v>
      </c>
      <c r="F184" s="2" t="inlineStr">
        <is>
          <t>€/an</t>
        </is>
      </c>
      <c r="G184" s="7" t="inlineStr">
        <is>
          <t>HYPOTHÈSE</t>
        </is>
      </c>
      <c r="H184" s="2" t="inlineStr">
        <is>
          <t>R3-52</t>
        </is>
      </c>
      <c r="I184" s="8" t="inlineStr">
        <is>
          <t>Étude d'impact acoustique et limiteur probables si les réceptions sont habituelles.</t>
        </is>
      </c>
      <c r="J184" s="2" t="inlineStr">
        <is>
          <t>Moteurs — événements et hébergement</t>
        </is>
      </c>
    </row>
    <row r="185">
      <c r="A185" s="2" t="inlineStr">
        <is>
          <t>evt_nb</t>
        </is>
      </c>
      <c r="B185" s="2" t="inlineStr">
        <is>
          <t>Réceptions privées (mariages) par an, plafonnées</t>
        </is>
      </c>
      <c r="C185" s="14" t="n">
        <v>14</v>
      </c>
      <c r="D185" s="14" t="n">
        <v>10</v>
      </c>
      <c r="E185" s="14" t="n">
        <v>5</v>
      </c>
      <c r="F185" s="2" t="inlineStr">
        <is>
          <t>événements</t>
        </is>
      </c>
      <c r="G185" s="7" t="inlineStr">
        <is>
          <t>HYPOTHÈSE</t>
        </is>
      </c>
      <c r="H185" s="2" t="inlineStr">
        <is>
          <t>R7-05; R7-06; R7-15</t>
        </is>
      </c>
      <c r="I185" s="8" t="inlineStr">
        <is>
          <t>Plafond choisi pour la tranquillité. Concurrence : 1 382 châteaux et 3 769 domaines sur une seule plateforme ; ≈ 22 samedis de mai à septembre.</t>
        </is>
      </c>
      <c r="J185" s="2" t="inlineStr">
        <is>
          <t>Moteurs — événements et hébergement</t>
        </is>
      </c>
    </row>
    <row r="186">
      <c r="A186" s="2" t="inlineStr">
        <is>
          <t>evt_prix_ht</t>
        </is>
      </c>
      <c r="B186" s="2" t="inlineStr">
        <is>
          <t>Location du lieu pour une réception (week-end, traiteur extérieur)</t>
        </is>
      </c>
      <c r="C186" s="6" t="n">
        <v>10000</v>
      </c>
      <c r="D186" s="6" t="n">
        <v>6500</v>
      </c>
      <c r="E186" s="6" t="n">
        <v>4500</v>
      </c>
      <c r="F186" s="2" t="inlineStr">
        <is>
          <t>€ HT/événement</t>
        </is>
      </c>
      <c r="G186" s="11" t="inlineStr">
        <is>
          <t>ESTIMATION</t>
        </is>
      </c>
      <c r="H186" s="2" t="inlineStr">
        <is>
          <t>R7-07; R7-09; R7-10; R7-13</t>
        </is>
      </c>
      <c r="I186" s="8" t="inlineStr">
        <is>
          <t>Observés : 4 000 à 10 000 € par week-end (HT/TTC rarement précisé) ; CMN : 2 425 à 3 750 € HT.</t>
        </is>
      </c>
      <c r="J186" s="2" t="inlineStr">
        <is>
          <t>Moteurs — événements et hébergement</t>
        </is>
      </c>
    </row>
    <row r="187">
      <c r="A187" s="2" t="inlineStr">
        <is>
          <t>evt_var</t>
        </is>
      </c>
      <c r="B187" s="2" t="inlineStr">
        <is>
          <t>Réceptions : charges variables en % du CA (ménage, extras, énergie, commissions)</t>
        </is>
      </c>
      <c r="C187" s="9" t="n">
        <v>0.25</v>
      </c>
      <c r="D187" s="9" t="n">
        <v>0.3</v>
      </c>
      <c r="E187" s="9" t="n">
        <v>0.35</v>
      </c>
      <c r="F187" s="2" t="inlineStr">
        <is>
          <t>%</t>
        </is>
      </c>
      <c r="G187" s="7" t="inlineStr">
        <is>
          <t>HYPOTHÈSE</t>
        </is>
      </c>
      <c r="H187" s="2" t="inlineStr"/>
      <c r="I187" s="8" t="inlineStr"/>
      <c r="J187" s="2" t="inlineStr">
        <is>
          <t>Moteurs — événements et hébergement</t>
        </is>
      </c>
    </row>
    <row r="188">
      <c r="A188" s="2" t="inlineStr">
        <is>
          <t>gite_capex</t>
        </is>
      </c>
      <c r="B188" s="2" t="inlineStr">
        <is>
          <t>Grande maison : rénovation d'une dépendance de 300 m²</t>
        </is>
      </c>
      <c r="C188" s="6" t="n">
        <v>0</v>
      </c>
      <c r="D188" s="6" t="n">
        <v>600000</v>
      </c>
      <c r="E188" s="6" t="n">
        <v>800000</v>
      </c>
      <c r="F188" s="2" t="inlineStr">
        <is>
          <t>€ TTC</t>
        </is>
      </c>
      <c r="G188" s="11" t="inlineStr">
        <is>
          <t>ESTIMATION</t>
        </is>
      </c>
      <c r="H188" s="2" t="inlineStr">
        <is>
          <t>R8-24</t>
        </is>
      </c>
      <c r="I188" s="8" t="inlineStr">
        <is>
          <t>≈ 2 000 €/m² TTC tout compris (cas réel 2022-2023). Favorable : maison déjà habitable.</t>
        </is>
      </c>
      <c r="J188" s="2" t="inlineStr">
        <is>
          <t>Moteurs — événements et hébergement</t>
        </is>
      </c>
    </row>
    <row r="189">
      <c r="A189" s="2" t="inlineStr">
        <is>
          <t>gite_fixe</t>
        </is>
      </c>
      <c r="B189" s="2" t="inlineStr">
        <is>
          <t>Grande maison : charges fixes (entretien, mobilier, assurance)</t>
        </is>
      </c>
      <c r="C189" s="6" t="n">
        <v>4000</v>
      </c>
      <c r="D189" s="6" t="n">
        <v>6000</v>
      </c>
      <c r="E189" s="6" t="n">
        <v>9000</v>
      </c>
      <c r="F189" s="2" t="inlineStr">
        <is>
          <t>€/an</t>
        </is>
      </c>
      <c r="G189" s="7" t="inlineStr">
        <is>
          <t>HYPOTHÈSE</t>
        </is>
      </c>
      <c r="H189" s="2" t="inlineStr"/>
      <c r="I189" s="8" t="inlineStr"/>
      <c r="J189" s="2" t="inlineStr">
        <is>
          <t>Moteurs — événements et hébergement</t>
        </is>
      </c>
    </row>
    <row r="190">
      <c r="A190" s="2" t="inlineStr">
        <is>
          <t>gite_prix_semaine</t>
        </is>
      </c>
      <c r="B190" s="2" t="inlineStr">
        <is>
          <t>Grande maison (12-15 personnes) : prix moyen par semaine</t>
        </is>
      </c>
      <c r="C190" s="6" t="n">
        <v>6000</v>
      </c>
      <c r="D190" s="6" t="n">
        <v>3500</v>
      </c>
      <c r="E190" s="6" t="n">
        <v>2500</v>
      </c>
      <c r="F190" s="2" t="inlineStr">
        <is>
          <t>€ HT/semaine</t>
        </is>
      </c>
      <c r="G190" s="7" t="inlineStr">
        <is>
          <t>HYPOTHÈSE</t>
        </is>
      </c>
      <c r="H190" s="2" t="inlineStr"/>
      <c r="I190" s="8" t="inlineStr">
        <is>
          <t>Prix moyen inconnu (R7). À calibrer sur le marché local.</t>
        </is>
      </c>
      <c r="J190" s="2" t="inlineStr">
        <is>
          <t>Moteurs — événements et hébergement</t>
        </is>
      </c>
    </row>
    <row r="191">
      <c r="A191" s="2" t="inlineStr">
        <is>
          <t>gite_semaines</t>
        </is>
      </c>
      <c r="B191" s="2" t="inlineStr">
        <is>
          <t>Grande maison louée à la semaine : semaines louées par an</t>
        </is>
      </c>
      <c r="C191" s="14" t="n">
        <v>30</v>
      </c>
      <c r="D191" s="14" t="n">
        <v>23</v>
      </c>
      <c r="E191" s="14" t="n">
        <v>15</v>
      </c>
      <c r="F191" s="2" t="inlineStr">
        <is>
          <t>semaines</t>
        </is>
      </c>
      <c r="G191" s="11" t="inlineStr">
        <is>
          <t>ESTIMATION</t>
        </is>
      </c>
      <c r="H191" s="2" t="inlineStr">
        <is>
          <t>R7-48; R7-50</t>
        </is>
      </c>
      <c r="I191" s="8" t="inlineStr">
        <is>
          <t>Occupation annuelle des Gîtes de France : 44 à 47 %, soit ≈ 23 semaines.</t>
        </is>
      </c>
      <c r="J191" s="2" t="inlineStr">
        <is>
          <t>Moteurs — événements et hébergement</t>
        </is>
      </c>
    </row>
    <row r="192">
      <c r="A192" s="2" t="inlineStr">
        <is>
          <t>gite_var</t>
        </is>
      </c>
      <c r="B192" s="2" t="inlineStr">
        <is>
          <t>Grande maison : charges variables (ménage, linge, commission, fluides)</t>
        </is>
      </c>
      <c r="C192" s="9" t="n">
        <v>0.25</v>
      </c>
      <c r="D192" s="9" t="n">
        <v>0.3</v>
      </c>
      <c r="E192" s="9" t="n">
        <v>0.35</v>
      </c>
      <c r="F192" s="2" t="inlineStr">
        <is>
          <t>%</t>
        </is>
      </c>
      <c r="G192" s="7" t="inlineStr">
        <is>
          <t>HYPOTHÈSE</t>
        </is>
      </c>
      <c r="H192" s="2" t="inlineStr"/>
      <c r="I192" s="8" t="inlineStr"/>
      <c r="J192" s="2" t="inlineStr">
        <is>
          <t>Moteurs — événements et hébergement</t>
        </is>
      </c>
    </row>
    <row r="193">
      <c r="A193" s="2" t="inlineStr">
        <is>
          <t>log_capex_m2</t>
        </is>
      </c>
      <c r="B193" s="2" t="inlineStr">
        <is>
          <t>Transformation de communs en logements</t>
        </is>
      </c>
      <c r="C193" s="6" t="n">
        <v>1600</v>
      </c>
      <c r="D193" s="6" t="n">
        <v>1800</v>
      </c>
      <c r="E193" s="6" t="n">
        <v>2200</v>
      </c>
      <c r="F193" s="2" t="inlineStr">
        <is>
          <t>€ TTC/m²</t>
        </is>
      </c>
      <c r="G193" s="11" t="inlineStr">
        <is>
          <t>ESTIMATION</t>
        </is>
      </c>
      <c r="H193" s="2" t="inlineStr">
        <is>
          <t>R8-24</t>
        </is>
      </c>
      <c r="I193" s="8" t="inlineStr"/>
      <c r="J193" s="2" t="inlineStr">
        <is>
          <t>Moteurs — événements et hébergement</t>
        </is>
      </c>
    </row>
    <row r="194">
      <c r="A194" s="2" t="inlineStr">
        <is>
          <t>log_charges</t>
        </is>
      </c>
      <c r="B194" s="2" t="inlineStr">
        <is>
          <t>Logements : charges non récupérables, gestion, taxe foncière, entretien courant</t>
        </is>
      </c>
      <c r="C194" s="9" t="n">
        <v>0.15</v>
      </c>
      <c r="D194" s="9" t="n">
        <v>0.2</v>
      </c>
      <c r="E194" s="9" t="n">
        <v>0.25</v>
      </c>
      <c r="F194" s="2" t="inlineStr">
        <is>
          <t>% des loyers</t>
        </is>
      </c>
      <c r="G194" s="7" t="inlineStr">
        <is>
          <t>HYPOTHÈSE</t>
        </is>
      </c>
      <c r="H194" s="2" t="inlineStr"/>
      <c r="I194" s="8" t="inlineStr"/>
      <c r="J194" s="2" t="inlineStr">
        <is>
          <t>Moteurs — événements et hébergement</t>
        </is>
      </c>
    </row>
    <row r="195">
      <c r="A195" s="2" t="inlineStr">
        <is>
          <t>log_loyer_m2</t>
        </is>
      </c>
      <c r="B195" s="2" t="inlineStr">
        <is>
          <t>Loyer d'une maison en commune rurale, charges comprises</t>
        </is>
      </c>
      <c r="C195" s="6" t="n">
        <v>10.9</v>
      </c>
      <c r="D195" s="6" t="n">
        <v>8</v>
      </c>
      <c r="E195" s="6" t="n">
        <v>6.8</v>
      </c>
      <c r="F195" s="2" t="inlineStr">
        <is>
          <t>€/m²/mois</t>
        </is>
      </c>
      <c r="G195" s="12" t="inlineStr">
        <is>
          <t>SOURCÉ</t>
        </is>
      </c>
      <c r="H195" s="2" t="inlineStr">
        <is>
          <t>R8-22; R8-23</t>
        </is>
      </c>
      <c r="I195" s="8" t="inlineStr">
        <is>
          <t>Carte des loyers 2025 (ANIL, annonces) : 6,8 à 10,9 €/m²/mois selon les communes rurales lues.</t>
        </is>
      </c>
      <c r="J195" s="2" t="inlineStr">
        <is>
          <t>Moteurs — événements et hébergement</t>
        </is>
      </c>
    </row>
    <row r="196">
      <c r="A196" s="2" t="inlineStr">
        <is>
          <t>log_m2</t>
        </is>
      </c>
      <c r="B196" s="2" t="inlineStr">
        <is>
          <t>Logements locatifs créés dans les communs</t>
        </is>
      </c>
      <c r="C196" s="14" t="n">
        <v>800</v>
      </c>
      <c r="D196" s="14" t="n">
        <v>600</v>
      </c>
      <c r="E196" s="14" t="n">
        <v>400</v>
      </c>
      <c r="F196" s="2" t="inlineStr">
        <is>
          <t>m²</t>
        </is>
      </c>
      <c r="G196" s="7" t="inlineStr">
        <is>
          <t>HYPOTHÈSE</t>
        </is>
      </c>
      <c r="H196" s="2" t="inlineStr"/>
      <c r="I196" s="8" t="inlineStr"/>
      <c r="J196" s="2" t="inlineStr">
        <is>
          <t>Moteurs — événements et hébergement</t>
        </is>
      </c>
    </row>
    <row r="197">
      <c r="A197" s="2" t="inlineStr">
        <is>
          <t>log_vacance</t>
        </is>
      </c>
      <c r="B197" s="2" t="inlineStr">
        <is>
          <t>Logements : vacance</t>
        </is>
      </c>
      <c r="C197" s="9" t="n">
        <v>0.03</v>
      </c>
      <c r="D197" s="9" t="n">
        <v>0.05</v>
      </c>
      <c r="E197" s="9" t="n">
        <v>0.1</v>
      </c>
      <c r="F197" s="2" t="inlineStr">
        <is>
          <t>%</t>
        </is>
      </c>
      <c r="G197" s="7" t="inlineStr">
        <is>
          <t>HYPOTHÈSE</t>
        </is>
      </c>
      <c r="H197" s="2" t="inlineStr"/>
      <c r="I197" s="8" t="inlineStr"/>
      <c r="J197" s="2" t="inlineStr">
        <is>
          <t>Moteurs — événements et hébergement</t>
        </is>
      </c>
    </row>
    <row r="198">
      <c r="A198" s="2" t="inlineStr">
        <is>
          <t>semj_jours</t>
        </is>
      </c>
      <c r="B198" s="2" t="inlineStr">
        <is>
          <t>Séminaires de jour (journées d'étude) par an</t>
        </is>
      </c>
      <c r="C198" s="14" t="n">
        <v>40</v>
      </c>
      <c r="D198" s="14" t="n">
        <v>20</v>
      </c>
      <c r="E198" s="14" t="n">
        <v>0</v>
      </c>
      <c r="F198" s="2" t="inlineStr">
        <is>
          <t>jours</t>
        </is>
      </c>
      <c r="G198" s="7" t="inlineStr">
        <is>
          <t>HYPOTHÈSE</t>
        </is>
      </c>
      <c r="H198" s="2" t="inlineStr">
        <is>
          <t>R7-74</t>
        </is>
      </c>
      <c r="I198" s="8" t="inlineStr">
        <is>
          <t>Suppose une métropole à moins d'une heure ; 36 des 70 maisons du leader sont en Île-de-France.</t>
        </is>
      </c>
      <c r="J198" s="2" t="inlineStr">
        <is>
          <t>Moteurs — événements et hébergement</t>
        </is>
      </c>
    </row>
    <row r="199">
      <c r="A199" s="2" t="inlineStr">
        <is>
          <t>semj_marge</t>
        </is>
      </c>
      <c r="B199" s="2" t="inlineStr">
        <is>
          <t>Séminaires de jour : marge après traiteur et personnel</t>
        </is>
      </c>
      <c r="C199" s="9" t="n">
        <v>0.45</v>
      </c>
      <c r="D199" s="9" t="n">
        <v>0.35</v>
      </c>
      <c r="E199" s="9" t="n">
        <v>0.25</v>
      </c>
      <c r="F199" s="2" t="inlineStr">
        <is>
          <t>%</t>
        </is>
      </c>
      <c r="G199" s="7" t="inlineStr">
        <is>
          <t>HYPOTHÈSE</t>
        </is>
      </c>
      <c r="H199" s="2" t="inlineStr"/>
      <c r="I199" s="8" t="inlineStr"/>
      <c r="J199" s="2" t="inlineStr">
        <is>
          <t>Moteurs — événements et hébergement</t>
        </is>
      </c>
    </row>
    <row r="200">
      <c r="A200" s="2" t="inlineStr">
        <is>
          <t>semj_pers</t>
        </is>
      </c>
      <c r="B200" s="2" t="inlineStr">
        <is>
          <t>Séminaires de jour : participants par journée</t>
        </is>
      </c>
      <c r="C200" s="14" t="n">
        <v>25</v>
      </c>
      <c r="D200" s="14" t="n">
        <v>20</v>
      </c>
      <c r="E200" s="14" t="n">
        <v>15</v>
      </c>
      <c r="F200" s="2" t="inlineStr">
        <is>
          <t>personnes</t>
        </is>
      </c>
      <c r="G200" s="7" t="inlineStr">
        <is>
          <t>HYPOTHÈSE</t>
        </is>
      </c>
      <c r="H200" s="2" t="inlineStr"/>
      <c r="I200" s="8" t="inlineStr"/>
      <c r="J200" s="2" t="inlineStr">
        <is>
          <t>Moteurs — événements et hébergement</t>
        </is>
      </c>
    </row>
    <row r="201">
      <c r="A201" s="2" t="inlineStr">
        <is>
          <t>semj_prix</t>
        </is>
      </c>
      <c r="B201" s="2" t="inlineStr">
        <is>
          <t>Journée d'étude en château : prix par personne</t>
        </is>
      </c>
      <c r="C201" s="6" t="n">
        <v>100</v>
      </c>
      <c r="D201" s="6" t="n">
        <v>95</v>
      </c>
      <c r="E201" s="6" t="n">
        <v>85</v>
      </c>
      <c r="F201" s="2" t="inlineStr">
        <is>
          <t>€ HT/pers.</t>
        </is>
      </c>
      <c r="G201" s="12" t="inlineStr">
        <is>
          <t>SOURCÉ</t>
        </is>
      </c>
      <c r="H201" s="2" t="inlineStr">
        <is>
          <t>R7-27; R7-28; R7-29</t>
        </is>
      </c>
      <c r="I201" s="8" t="inlineStr"/>
      <c r="J201" s="2" t="inlineStr">
        <is>
          <t>Moteurs — événements et hébergement</t>
        </is>
      </c>
    </row>
    <row r="202">
      <c r="A202" s="2" t="inlineStr">
        <is>
          <t>stock_capex</t>
        </is>
      </c>
      <c r="B202" s="2" t="inlineStr">
        <is>
          <t>Hivernage : aménagements (sol, portes, sécurité)</t>
        </is>
      </c>
      <c r="C202" s="6" t="n">
        <v>20000</v>
      </c>
      <c r="D202" s="6" t="n">
        <v>20000</v>
      </c>
      <c r="E202" s="6" t="n">
        <v>20000</v>
      </c>
      <c r="F202" s="2" t="inlineStr">
        <is>
          <t>€</t>
        </is>
      </c>
      <c r="G202" s="7" t="inlineStr">
        <is>
          <t>HYPOTHÈSE</t>
        </is>
      </c>
      <c r="H202" s="2" t="inlineStr"/>
      <c r="I202" s="8" t="inlineStr"/>
      <c r="J202" s="2" t="inlineStr">
        <is>
          <t>Moteurs — événements et hébergement</t>
        </is>
      </c>
    </row>
    <row r="203">
      <c r="A203" s="2" t="inlineStr">
        <is>
          <t>stock_occ</t>
        </is>
      </c>
      <c r="B203" s="2" t="inlineStr">
        <is>
          <t>Hivernage : taux de remplissage</t>
        </is>
      </c>
      <c r="C203" s="9" t="n">
        <v>0.95</v>
      </c>
      <c r="D203" s="9" t="n">
        <v>0.8</v>
      </c>
      <c r="E203" s="9" t="n">
        <v>0.5</v>
      </c>
      <c r="F203" s="2" t="inlineStr">
        <is>
          <t>%</t>
        </is>
      </c>
      <c r="G203" s="7" t="inlineStr">
        <is>
          <t>HYPOTHÈSE</t>
        </is>
      </c>
      <c r="H203" s="2" t="inlineStr"/>
      <c r="I203" s="8" t="inlineStr"/>
      <c r="J203" s="2" t="inlineStr">
        <is>
          <t>Moteurs — événements et hébergement</t>
        </is>
      </c>
    </row>
    <row r="204">
      <c r="A204" s="2" t="inlineStr">
        <is>
          <t>stock_places</t>
        </is>
      </c>
      <c r="B204" s="2" t="inlineStr">
        <is>
          <t>Hivernage de camping-cars et caravanes (grange de 600 m²) : places</t>
        </is>
      </c>
      <c r="C204" s="14" t="n">
        <v>25</v>
      </c>
      <c r="D204" s="14" t="n">
        <v>20</v>
      </c>
      <c r="E204" s="14" t="n">
        <v>15</v>
      </c>
      <c r="F204" s="2" t="inlineStr">
        <is>
          <t>places</t>
        </is>
      </c>
      <c r="G204" s="7" t="inlineStr">
        <is>
          <t>HYPOTHÈSE</t>
        </is>
      </c>
      <c r="H204" s="2" t="inlineStr"/>
      <c r="I204" s="8" t="inlineStr"/>
      <c r="J204" s="2" t="inlineStr">
        <is>
          <t>Moteurs — événements et hébergement</t>
        </is>
      </c>
    </row>
    <row r="205">
      <c r="A205" s="2" t="inlineStr">
        <is>
          <t>stock_prix</t>
        </is>
      </c>
      <c r="B205" s="2" t="inlineStr">
        <is>
          <t>Hivernage : prix annuel par place HT</t>
        </is>
      </c>
      <c r="C205" s="6" t="n">
        <v>460</v>
      </c>
      <c r="D205" s="6" t="n">
        <v>375</v>
      </c>
      <c r="E205" s="6" t="n">
        <v>290</v>
      </c>
      <c r="F205" s="2" t="inlineStr">
        <is>
          <t>€ HT/an</t>
        </is>
      </c>
      <c r="G205" s="11" t="inlineStr">
        <is>
          <t>ESTIMATION</t>
        </is>
      </c>
      <c r="H205" s="2" t="inlineStr">
        <is>
          <t>R8-17</t>
        </is>
      </c>
      <c r="I205" s="8" t="inlineStr">
        <is>
          <t>350 à 550 € TTC par an.</t>
        </is>
      </c>
      <c r="J205" s="2" t="inlineStr">
        <is>
          <t>Moteurs — événements et hébergement</t>
        </is>
      </c>
    </row>
    <row r="206">
      <c r="A206" s="2" t="inlineStr">
        <is>
          <t>taux_renouv_capex</t>
        </is>
      </c>
      <c r="B206" s="2" t="inlineStr">
        <is>
          <t>Provision de renouvellement des investissements d'activité, en % par an</t>
        </is>
      </c>
      <c r="C206" s="9" t="n">
        <v>0.02</v>
      </c>
      <c r="D206" s="9" t="n">
        <v>0.025</v>
      </c>
      <c r="E206" s="9" t="n">
        <v>0.035</v>
      </c>
      <c r="F206" s="2" t="inlineStr">
        <is>
          <t>% par an</t>
        </is>
      </c>
      <c r="G206" s="7" t="inlineStr">
        <is>
          <t>HYPOTHÈSE</t>
        </is>
      </c>
      <c r="H206" s="2" t="inlineStr"/>
      <c r="I206" s="8" t="inlineStr"/>
      <c r="J206" s="2" t="inlineStr">
        <is>
          <t>Moteurs — événements et hébergement</t>
        </is>
      </c>
    </row>
    <row r="207">
      <c r="A207" s="2" t="inlineStr">
        <is>
          <t>tourn_jours</t>
        </is>
      </c>
      <c r="B207" s="2" t="inlineStr">
        <is>
          <t>Tournages et prises de vue : jours par an</t>
        </is>
      </c>
      <c r="C207" s="14" t="n">
        <v>6</v>
      </c>
      <c r="D207" s="14" t="n">
        <v>2</v>
      </c>
      <c r="E207" s="14" t="n">
        <v>0</v>
      </c>
      <c r="F207" s="2" t="inlineStr">
        <is>
          <t>jours</t>
        </is>
      </c>
      <c r="G207" s="7" t="inlineStr">
        <is>
          <t>HYPOTHÈSE</t>
        </is>
      </c>
      <c r="H207" s="2" t="inlineStr">
        <is>
          <t>R7-36; R7-37</t>
        </is>
      </c>
      <c r="I207" s="8" t="inlineStr">
        <is>
          <t>Fréquence inconnue pour un château ordinaire ; plus de 50 % des tournages en Île-de-France.</t>
        </is>
      </c>
      <c r="J207" s="2" t="inlineStr">
        <is>
          <t>Moteurs — événements et hébergement</t>
        </is>
      </c>
    </row>
    <row r="208">
      <c r="A208" s="2" t="inlineStr">
        <is>
          <t>tourn_tarif</t>
        </is>
      </c>
      <c r="B208" s="2" t="inlineStr">
        <is>
          <t>Tournage : tarif journalier HT</t>
        </is>
      </c>
      <c r="C208" s="6" t="n">
        <v>5500</v>
      </c>
      <c r="D208" s="6" t="n">
        <v>3500</v>
      </c>
      <c r="E208" s="6" t="n">
        <v>2500</v>
      </c>
      <c r="F208" s="2" t="inlineStr">
        <is>
          <t>€ HT/jour</t>
        </is>
      </c>
      <c r="G208" s="12" t="inlineStr">
        <is>
          <t>SOURCÉ</t>
        </is>
      </c>
      <c r="H208" s="2" t="inlineStr">
        <is>
          <t>R7-12</t>
        </is>
      </c>
      <c r="I208" s="8" t="inlineStr">
        <is>
          <t>Grille du Centre des monuments nationaux (fiction).</t>
        </is>
      </c>
      <c r="J208" s="2" t="inlineStr">
        <is>
          <t>Moteurs — événements et hébergement</t>
        </is>
      </c>
    </row>
    <row r="209">
      <c r="A209" s="2" t="inlineStr">
        <is>
          <t>tourn_var</t>
        </is>
      </c>
      <c r="B209" s="2" t="inlineStr">
        <is>
          <t>Tournages : charges variables</t>
        </is>
      </c>
      <c r="C209" s="9" t="n">
        <v>0.15</v>
      </c>
      <c r="D209" s="9" t="n">
        <v>0.15</v>
      </c>
      <c r="E209" s="9" t="n">
        <v>0.15</v>
      </c>
      <c r="F209" s="2" t="inlineStr">
        <is>
          <t>%</t>
        </is>
      </c>
      <c r="G209" s="7" t="inlineStr">
        <is>
          <t>HYPOTHÈSE</t>
        </is>
      </c>
      <c r="H209" s="2" t="inlineStr"/>
      <c r="I209" s="8" t="inlineStr"/>
      <c r="J209" s="2" t="inlineStr">
        <is>
          <t>Moteurs — événements et hébergement</t>
        </is>
      </c>
    </row>
    <row r="210">
      <c r="A210" s="5" t="inlineStr">
        <is>
          <t>— Personnel — coûts employeur annuels —</t>
        </is>
      </c>
    </row>
    <row r="211">
      <c r="A211" s="2" t="inlineStr">
        <is>
          <t>S1_cout_direction</t>
        </is>
      </c>
      <c r="B211" s="2" t="inlineStr">
        <is>
          <t>S1 — régisseur (sans objet)</t>
        </is>
      </c>
      <c r="C211" s="6" t="n">
        <v>0</v>
      </c>
      <c r="D211" s="6" t="n">
        <v>0</v>
      </c>
      <c r="E211" s="6" t="n">
        <v>0</v>
      </c>
      <c r="F211" s="2" t="inlineStr">
        <is>
          <t>€/ETP/an</t>
        </is>
      </c>
      <c r="G211" s="7" t="inlineStr">
        <is>
          <t>HYPOTHÈSE</t>
        </is>
      </c>
      <c r="H211" s="2" t="inlineStr"/>
      <c r="I211" s="8" t="inlineStr"/>
      <c r="J211" s="2" t="inlineStr">
        <is>
          <t>Personnel — coûts employeur annuels</t>
        </is>
      </c>
    </row>
    <row r="212">
      <c r="A212" s="2" t="inlineStr">
        <is>
          <t>S1_cout_gouvernance</t>
        </is>
      </c>
      <c r="B212" s="2" t="inlineStr">
        <is>
          <t>S1 — gouvernante (sans objet)</t>
        </is>
      </c>
      <c r="C212" s="6" t="n">
        <v>0</v>
      </c>
      <c r="D212" s="6" t="n">
        <v>0</v>
      </c>
      <c r="E212" s="6" t="n">
        <v>0</v>
      </c>
      <c r="F212" s="2" t="inlineStr">
        <is>
          <t>€/ETP/an</t>
        </is>
      </c>
      <c r="G212" s="7" t="inlineStr">
        <is>
          <t>HYPOTHÈSE</t>
        </is>
      </c>
      <c r="H212" s="2" t="inlineStr"/>
      <c r="I212" s="8" t="inlineStr"/>
      <c r="J212" s="2" t="inlineStr">
        <is>
          <t>Personnel — coûts employeur annuels</t>
        </is>
      </c>
    </row>
    <row r="213">
      <c r="A213" s="2" t="inlineStr">
        <is>
          <t>S2_cout_direction</t>
        </is>
      </c>
      <c r="B213" s="2" t="inlineStr">
        <is>
          <t>S2 — régisseur de domaine (2,0 / 2,5 / 3,0 SMIC)</t>
        </is>
      </c>
      <c r="C213" s="6" t="n">
        <v>62277</v>
      </c>
      <c r="D213" s="6" t="n">
        <v>79253</v>
      </c>
      <c r="E213" s="6" t="n">
        <v>96730</v>
      </c>
      <c r="F213" s="2" t="inlineStr">
        <is>
          <t>€/ETP/an</t>
        </is>
      </c>
      <c r="G213" s="11" t="inlineStr">
        <is>
          <t>ESTIMATION</t>
        </is>
      </c>
      <c r="H213" s="2" t="inlineStr">
        <is>
          <t>R2-11; R2-07</t>
        </is>
      </c>
      <c r="I213" s="8" t="inlineStr">
        <is>
          <t>Coût employeur annuel calculé par R2 avec le simulateur officiel URSSAF (RGDU 2026, SMIC à 12,31 €/h depuis le 01/06/2026). Le niveau de salaire en multiple du SMIC est une HYPOTHÈSE, faute de salaires de marché publiés.</t>
        </is>
      </c>
      <c r="J213" s="2" t="inlineStr">
        <is>
          <t>Personnel — coûts employeur annuels</t>
        </is>
      </c>
    </row>
    <row r="214">
      <c r="A214" s="2" t="inlineStr">
        <is>
          <t>S2_cout_gouvernance</t>
        </is>
      </c>
      <c r="B214" s="2" t="inlineStr">
        <is>
          <t>S2 — gouvernante (1,3 / 1,4 / 1,5 SMIC × 1,30)</t>
        </is>
      </c>
      <c r="C214" s="6" t="n">
        <v>37863</v>
      </c>
      <c r="D214" s="6" t="n">
        <v>40776</v>
      </c>
      <c r="E214" s="6" t="n">
        <v>43688</v>
      </c>
      <c r="F214" s="2" t="inlineStr">
        <is>
          <t>€/ETP/an</t>
        </is>
      </c>
      <c r="G214" s="11" t="inlineStr">
        <is>
          <t>ESTIMATION</t>
        </is>
      </c>
      <c r="H214" s="2" t="inlineStr">
        <is>
          <t>R2-03; R2-12</t>
        </is>
      </c>
      <c r="I214" s="8" t="inlineStr"/>
      <c r="J214" s="2" t="inlineStr">
        <is>
          <t>Personnel — coûts employeur annuels</t>
        </is>
      </c>
    </row>
    <row r="215">
      <c r="A215" s="2" t="inlineStr">
        <is>
          <t>S3_cout_direction</t>
        </is>
      </c>
      <c r="B215" s="2" t="inlineStr">
        <is>
          <t>S3 — directeur de domaine (2,5 / 3,0 / 3,5 SMIC)</t>
        </is>
      </c>
      <c r="C215" s="6" t="n">
        <v>79253</v>
      </c>
      <c r="D215" s="6" t="n">
        <v>96730</v>
      </c>
      <c r="E215" s="6" t="n">
        <v>115000</v>
      </c>
      <c r="F215" s="2" t="inlineStr">
        <is>
          <t>€/ETP/an</t>
        </is>
      </c>
      <c r="G215" s="11" t="inlineStr">
        <is>
          <t>ESTIMATION</t>
        </is>
      </c>
      <c r="H215" s="2" t="inlineStr">
        <is>
          <t>R2-11</t>
        </is>
      </c>
      <c r="I215" s="8" t="inlineStr">
        <is>
          <t>Coût employeur annuel calculé par R2 avec le simulateur officiel URSSAF (RGDU 2026, SMIC à 12,31 €/h depuis le 01/06/2026). Le niveau de salaire en multiple du SMIC est une HYPOTHÈSE, faute de salaires de marché publiés. Valeur défavorable extrapolée (au-delà des points du simulateur).</t>
        </is>
      </c>
      <c r="J215" s="2" t="inlineStr">
        <is>
          <t>Personnel — coûts employeur annuels</t>
        </is>
      </c>
    </row>
    <row r="216">
      <c r="A216" s="2" t="inlineStr">
        <is>
          <t>S3_cout_gouvernance</t>
        </is>
      </c>
      <c r="B216" s="2" t="inlineStr">
        <is>
          <t>S3 — majordome et gouvernante, coût moyen par ETP</t>
        </is>
      </c>
      <c r="C216" s="6" t="n">
        <v>50000</v>
      </c>
      <c r="D216" s="6" t="n">
        <v>58251</v>
      </c>
      <c r="E216" s="6" t="n">
        <v>66000</v>
      </c>
      <c r="F216" s="2" t="inlineStr">
        <is>
          <t>€/ETP/an</t>
        </is>
      </c>
      <c r="G216" s="11" t="inlineStr">
        <is>
          <t>ESTIMATION</t>
        </is>
      </c>
      <c r="H216" s="2" t="inlineStr">
        <is>
          <t>R2-03; R2-12</t>
        </is>
      </c>
      <c r="I216" s="8" t="inlineStr">
        <is>
          <t>Moyenne d'un majordome à 2,5 SMIC (72 814 €) et d'une gouvernante à 1,5 SMIC (43 688 €), selon R2 § 9.4.</t>
        </is>
      </c>
      <c r="J216" s="2" t="inlineStr">
        <is>
          <t>Personnel — coûts employeur annuels</t>
        </is>
      </c>
    </row>
    <row r="217">
      <c r="A217" s="2" t="inlineStr">
        <is>
          <t>cout_admin_salarie</t>
        </is>
      </c>
      <c r="B217" s="2" t="inlineStr">
        <is>
          <t>Assistant(e) administratif(ve) / comptable (1,4 / 1,5 / 1,6 SMIC)</t>
        </is>
      </c>
      <c r="C217" s="6" t="n">
        <v>40479</v>
      </c>
      <c r="D217" s="6" t="n">
        <v>44289</v>
      </c>
      <c r="E217" s="6" t="n">
        <v>48000</v>
      </c>
      <c r="F217" s="2" t="inlineStr">
        <is>
          <t>€/ETP/an</t>
        </is>
      </c>
      <c r="G217" s="11" t="inlineStr">
        <is>
          <t>ESTIMATION</t>
        </is>
      </c>
      <c r="H217" s="2" t="inlineStr">
        <is>
          <t>R2-11; R2-05</t>
        </is>
      </c>
      <c r="I217" s="8" t="inlineStr">
        <is>
          <t>Coût employeur annuel calculé par R2 avec le simulateur officiel URSSAF (RGDU 2026, SMIC à 12,31 €/h depuis le 01/06/2026). Le niveau de salaire en multiple du SMIC est une HYPOTHÈSE, faute de salaires de marché publiés.</t>
        </is>
      </c>
      <c r="J217" s="2" t="inlineStr">
        <is>
          <t>Personnel — coûts employeur annuels</t>
        </is>
      </c>
    </row>
    <row r="218">
      <c r="A218" s="2" t="inlineStr">
        <is>
          <t>cout_agent_entretien</t>
        </is>
      </c>
      <c r="B218" s="2" t="inlineStr">
        <is>
          <t>Gardien, homme d'entretien (1,2 / 1,3 / 1,4 SMIC)</t>
        </is>
      </c>
      <c r="C218" s="6" t="n">
        <v>32531</v>
      </c>
      <c r="D218" s="6" t="n">
        <v>36566</v>
      </c>
      <c r="E218" s="6" t="n">
        <v>40479</v>
      </c>
      <c r="F218" s="2" t="inlineStr">
        <is>
          <t>€/ETP/an</t>
        </is>
      </c>
      <c r="G218" s="11" t="inlineStr">
        <is>
          <t>ESTIMATION</t>
        </is>
      </c>
      <c r="H218" s="2" t="inlineStr">
        <is>
          <t>R2-11</t>
        </is>
      </c>
      <c r="I218" s="8" t="inlineStr">
        <is>
          <t>Coût employeur annuel calculé par R2 avec le simulateur officiel URSSAF (RGDU 2026, SMIC à 12,31 €/h depuis le 01/06/2026). Le niveau de salaire en multiple du SMIC est une HYPOTHÈSE, faute de salaires de marché publiés.</t>
        </is>
      </c>
      <c r="J218" s="2" t="inlineStr">
        <is>
          <t>Personnel — coûts employeur annuels</t>
        </is>
      </c>
    </row>
    <row r="219">
      <c r="A219" s="2" t="inlineStr">
        <is>
          <t>cout_chef_jardinier</t>
        </is>
      </c>
      <c r="B219" s="2" t="inlineStr">
        <is>
          <t>Chef jardinier (1,5 / 1,75 / 2,0 SMIC)</t>
        </is>
      </c>
      <c r="C219" s="6" t="n">
        <v>44289</v>
      </c>
      <c r="D219" s="6" t="n">
        <v>53470</v>
      </c>
      <c r="E219" s="6" t="n">
        <v>62277</v>
      </c>
      <c r="F219" s="2" t="inlineStr">
        <is>
          <t>€/ETP/an</t>
        </is>
      </c>
      <c r="G219" s="11" t="inlineStr">
        <is>
          <t>ESTIMATION</t>
        </is>
      </c>
      <c r="H219" s="2" t="inlineStr">
        <is>
          <t>R2-11; R2-07</t>
        </is>
      </c>
      <c r="I219" s="8" t="inlineStr">
        <is>
          <t>Coût employeur annuel calculé par R2 avec le simulateur officiel URSSAF (RGDU 2026, SMIC à 12,31 €/h depuis le 01/06/2026). Le niveau de salaire en multiple du SMIC est une HYPOTHÈSE, faute de salaires de marché publiés.</t>
        </is>
      </c>
      <c r="J219" s="2" t="inlineStr">
        <is>
          <t>Personnel — coûts employeur annuels</t>
        </is>
      </c>
    </row>
    <row r="220">
      <c r="A220" s="2" t="inlineStr">
        <is>
          <t>cout_jardinier</t>
        </is>
      </c>
      <c r="B220" s="2" t="inlineStr">
        <is>
          <t>Jardinier qualifié (1,1 / 1,2 / 1,3 SMIC)</t>
        </is>
      </c>
      <c r="C220" s="6" t="n">
        <v>28346</v>
      </c>
      <c r="D220" s="13" t="n">
        <v>32531</v>
      </c>
      <c r="E220" s="6" t="n">
        <v>36566</v>
      </c>
      <c r="F220" s="2" t="inlineStr">
        <is>
          <t>€/ETP/an</t>
        </is>
      </c>
      <c r="G220" s="11" t="inlineStr">
        <is>
          <t>ESTIMATION</t>
        </is>
      </c>
      <c r="H220" s="2" t="inlineStr">
        <is>
          <t>R2-11; R2-07</t>
        </is>
      </c>
      <c r="I220" s="8" t="inlineStr">
        <is>
          <t>Coût employeur annuel calculé par R2 avec le simulateur officiel URSSAF (RGDU 2026, SMIC à 12,31 €/h depuis le 01/06/2026). Le niveau de salaire en multiple du SMIC est une HYPOTHÈSE, faute de salaires de marché publiés. Grille du paysage O.4 à O.6 = 12,59 à 13,56 €/h.</t>
        </is>
      </c>
      <c r="J220" s="2" t="inlineStr">
        <is>
          <t>Personnel — coûts employeur annuels</t>
        </is>
      </c>
    </row>
    <row r="221">
      <c r="A221" s="2" t="inlineStr">
        <is>
          <t>cout_maison</t>
        </is>
      </c>
      <c r="B221" s="2" t="inlineStr">
        <is>
          <t>Employé(e) de maison, particulier employeur (1,0 / 1,1 / 1,2 SMIC × 1,30)</t>
        </is>
      </c>
      <c r="C221" s="6" t="n">
        <v>29125</v>
      </c>
      <c r="D221" s="6" t="n">
        <v>32038</v>
      </c>
      <c r="E221" s="6" t="n">
        <v>34950</v>
      </c>
      <c r="F221" s="2" t="inlineStr">
        <is>
          <t>€/ETP/an</t>
        </is>
      </c>
      <c r="G221" s="11" t="inlineStr">
        <is>
          <t>ESTIMATION</t>
        </is>
      </c>
      <c r="H221" s="2" t="inlineStr">
        <is>
          <t>R2-03; R2-12</t>
        </is>
      </c>
      <c r="I221" s="8" t="inlineStr">
        <is>
          <t>Particulier employeur : pas de RGDU ; coût estimé à brut × 1,30 par R2 (fragile, à vérifier avec le simulateur CESU).</t>
        </is>
      </c>
      <c r="J221" s="2" t="inlineStr">
        <is>
          <t>Personnel — coûts employeur annuels</t>
        </is>
      </c>
    </row>
    <row r="222">
      <c r="A222" s="2" t="inlineStr">
        <is>
          <t>cout_ouvrier_agricole</t>
        </is>
      </c>
      <c r="B222" s="2" t="inlineStr">
        <is>
          <t>Ouvrier agricole qualifié (1,1 / 1,2 / 1,3 SMIC)</t>
        </is>
      </c>
      <c r="C222" s="6" t="n">
        <v>28346</v>
      </c>
      <c r="D222" s="6" t="n">
        <v>32531</v>
      </c>
      <c r="E222" s="6" t="n">
        <v>36566</v>
      </c>
      <c r="F222" s="2" t="inlineStr">
        <is>
          <t>€/ETP/an</t>
        </is>
      </c>
      <c r="G222" s="11" t="inlineStr">
        <is>
          <t>ESTIMATION</t>
        </is>
      </c>
      <c r="H222" s="2" t="inlineStr">
        <is>
          <t>R2-11; R2-09</t>
        </is>
      </c>
      <c r="I222" s="8" t="inlineStr">
        <is>
          <t>Coût employeur annuel calculé par R2 avec le simulateur officiel URSSAF (RGDU 2026, SMIC à 12,31 €/h depuis le 01/06/2026). Le niveau de salaire en multiple du SMIC est une HYPOTHÈSE, faute de salaires de marché publiés.</t>
        </is>
      </c>
      <c r="J222" s="2" t="inlineStr">
        <is>
          <t>Personnel — coûts employeur annuels</t>
        </is>
      </c>
    </row>
    <row r="223">
      <c r="A223" s="2" t="inlineStr">
        <is>
          <t>cout_resp_ecurie</t>
        </is>
      </c>
      <c r="B223" s="2" t="inlineStr">
        <is>
          <t>Responsable d'écurie, cavalier (1,3 / 1,4 / 1,5 SMIC)</t>
        </is>
      </c>
      <c r="C223" s="6" t="n">
        <v>36566</v>
      </c>
      <c r="D223" s="6" t="n">
        <v>40479</v>
      </c>
      <c r="E223" s="6" t="n">
        <v>44289</v>
      </c>
      <c r="F223" s="2" t="inlineStr">
        <is>
          <t>€/ETP/an</t>
        </is>
      </c>
      <c r="G223" s="11" t="inlineStr">
        <is>
          <t>ESTIMATION</t>
        </is>
      </c>
      <c r="H223" s="2" t="inlineStr">
        <is>
          <t>R2-11; R2-05</t>
        </is>
      </c>
      <c r="I223" s="8" t="inlineStr">
        <is>
          <t>Coût employeur annuel calculé par R2 avec le simulateur officiel URSSAF (RGDU 2026, SMIC à 12,31 €/h depuis le 01/06/2026). Le niveau de salaire en multiple du SMIC est une HYPOTHÈSE, faute de salaires de marché publiés.</t>
        </is>
      </c>
      <c r="J223" s="2" t="inlineStr">
        <is>
          <t>Personnel — coûts employeur annuels</t>
        </is>
      </c>
    </row>
    <row r="224">
      <c r="A224" s="2" t="inlineStr">
        <is>
          <t>cout_soigneur</t>
        </is>
      </c>
      <c r="B224" s="2" t="inlineStr">
        <is>
          <t>Soigneur, palefrenier (1,0 / 1,0 / 1,1 SMIC)</t>
        </is>
      </c>
      <c r="C224" s="6" t="n">
        <v>23853</v>
      </c>
      <c r="D224" s="6" t="n">
        <v>23973</v>
      </c>
      <c r="E224" s="6" t="n">
        <v>28216</v>
      </c>
      <c r="F224" s="2" t="inlineStr">
        <is>
          <t>€/ETP/an</t>
        </is>
      </c>
      <c r="G224" s="11" t="inlineStr">
        <is>
          <t>ESTIMATION</t>
        </is>
      </c>
      <c r="H224" s="2" t="inlineStr">
        <is>
          <t>R2-11; R2-05</t>
        </is>
      </c>
      <c r="I224" s="8" t="inlineStr">
        <is>
          <t>Coût employeur annuel calculé par R2 avec le simulateur officiel URSSAF (RGDU 2026, SMIC à 12,31 €/h depuis le 01/06/2026). Le niveau de salaire en multiple du SMIC est une HYPOTHÈSE, faute de salaires de marché publiés.</t>
        </is>
      </c>
      <c r="J224" s="2" t="inlineStr">
        <is>
          <t>Personnel — coûts employeur annuels</t>
        </is>
      </c>
    </row>
    <row r="225">
      <c r="A225" s="5" t="inlineStr">
        <is>
          <t>— Personnel — effectifs (ETP) du domaine —</t>
        </is>
      </c>
    </row>
    <row r="226">
      <c r="A226" s="2" t="inlineStr">
        <is>
          <t>S1_etp_admin</t>
        </is>
      </c>
      <c r="B226" s="2" t="inlineStr">
        <is>
          <t>S1 — ETP admin</t>
        </is>
      </c>
      <c r="C226" s="14" t="n">
        <v>0</v>
      </c>
      <c r="D226" s="14" t="n">
        <v>0</v>
      </c>
      <c r="E226" s="14" t="n">
        <v>0</v>
      </c>
      <c r="F226" s="2" t="inlineStr">
        <is>
          <t>ETP</t>
        </is>
      </c>
      <c r="G226" s="7" t="inlineStr">
        <is>
          <t>HYPOTHÈSE</t>
        </is>
      </c>
      <c r="H226" s="2" t="inlineStr">
        <is>
          <t>R2</t>
        </is>
      </c>
      <c r="I226"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26" s="2" t="inlineStr">
        <is>
          <t>Personnel — effectifs (ETP) du domaine</t>
        </is>
      </c>
    </row>
    <row r="227">
      <c r="A227" s="2" t="inlineStr">
        <is>
          <t>S1_etp_agricole</t>
        </is>
      </c>
      <c r="B227" s="2" t="inlineStr">
        <is>
          <t>S1 — ETP agricole</t>
        </is>
      </c>
      <c r="C227" s="14" t="n">
        <v>0</v>
      </c>
      <c r="D227" s="14" t="n">
        <v>0</v>
      </c>
      <c r="E227" s="14" t="n">
        <v>0</v>
      </c>
      <c r="F227" s="2" t="inlineStr">
        <is>
          <t>ETP</t>
        </is>
      </c>
      <c r="G227" s="7" t="inlineStr">
        <is>
          <t>HYPOTHÈSE</t>
        </is>
      </c>
      <c r="H227" s="2" t="inlineStr">
        <is>
          <t>R2</t>
        </is>
      </c>
      <c r="I227"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27" s="2" t="inlineStr">
        <is>
          <t>Personnel — effectifs (ETP) du domaine</t>
        </is>
      </c>
    </row>
    <row r="228">
      <c r="A228" s="2" t="inlineStr">
        <is>
          <t>S1_etp_chef_jardinier</t>
        </is>
      </c>
      <c r="B228" s="2" t="inlineStr">
        <is>
          <t>S1 — ETP chef jardinier</t>
        </is>
      </c>
      <c r="C228" s="14" t="n">
        <v>0</v>
      </c>
      <c r="D228" s="14" t="n">
        <v>0</v>
      </c>
      <c r="E228" s="14" t="n">
        <v>0</v>
      </c>
      <c r="F228" s="2" t="inlineStr">
        <is>
          <t>ETP</t>
        </is>
      </c>
      <c r="G228" s="7" t="inlineStr">
        <is>
          <t>HYPOTHÈSE</t>
        </is>
      </c>
      <c r="H228" s="2" t="inlineStr">
        <is>
          <t>R2</t>
        </is>
      </c>
      <c r="I228"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28" s="2" t="inlineStr">
        <is>
          <t>Personnel — effectifs (ETP) du domaine</t>
        </is>
      </c>
    </row>
    <row r="229">
      <c r="A229" s="2" t="inlineStr">
        <is>
          <t>S1_etp_direction</t>
        </is>
      </c>
      <c r="B229" s="2" t="inlineStr">
        <is>
          <t>S1 — ETP direction</t>
        </is>
      </c>
      <c r="C229" s="14" t="n">
        <v>0</v>
      </c>
      <c r="D229" s="14" t="n">
        <v>0</v>
      </c>
      <c r="E229" s="14" t="n">
        <v>0</v>
      </c>
      <c r="F229" s="2" t="inlineStr">
        <is>
          <t>ETP</t>
        </is>
      </c>
      <c r="G229" s="7" t="inlineStr">
        <is>
          <t>HYPOTHÈSE</t>
        </is>
      </c>
      <c r="H229" s="2" t="inlineStr">
        <is>
          <t>R2</t>
        </is>
      </c>
      <c r="I229"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29" s="2" t="inlineStr">
        <is>
          <t>Personnel — effectifs (ETP) du domaine</t>
        </is>
      </c>
    </row>
    <row r="230">
      <c r="A230" s="2" t="inlineStr">
        <is>
          <t>S1_etp_entretien</t>
        </is>
      </c>
      <c r="B230" s="2" t="inlineStr">
        <is>
          <t>S1 — ETP entretien</t>
        </is>
      </c>
      <c r="C230" s="14" t="n">
        <v>0</v>
      </c>
      <c r="D230" s="14" t="n">
        <v>0</v>
      </c>
      <c r="E230" s="14" t="n">
        <v>0</v>
      </c>
      <c r="F230" s="2" t="inlineStr">
        <is>
          <t>ETP</t>
        </is>
      </c>
      <c r="G230" s="7" t="inlineStr">
        <is>
          <t>HYPOTHÈSE</t>
        </is>
      </c>
      <c r="H230" s="2" t="inlineStr">
        <is>
          <t>R2</t>
        </is>
      </c>
      <c r="I230"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0" s="2" t="inlineStr">
        <is>
          <t>Personnel — effectifs (ETP) du domaine</t>
        </is>
      </c>
    </row>
    <row r="231">
      <c r="A231" s="2" t="inlineStr">
        <is>
          <t>S1_etp_gouvernance</t>
        </is>
      </c>
      <c r="B231" s="2" t="inlineStr">
        <is>
          <t>S1 — ETP gouvernance</t>
        </is>
      </c>
      <c r="C231" s="14" t="n">
        <v>0</v>
      </c>
      <c r="D231" s="14" t="n">
        <v>0</v>
      </c>
      <c r="E231" s="14" t="n">
        <v>0</v>
      </c>
      <c r="F231" s="2" t="inlineStr">
        <is>
          <t>ETP</t>
        </is>
      </c>
      <c r="G231" s="7" t="inlineStr">
        <is>
          <t>HYPOTHÈSE</t>
        </is>
      </c>
      <c r="H231" s="2" t="inlineStr">
        <is>
          <t>R2</t>
        </is>
      </c>
      <c r="I231"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1" s="2" t="inlineStr">
        <is>
          <t>Personnel — effectifs (ETP) du domaine</t>
        </is>
      </c>
    </row>
    <row r="232">
      <c r="A232" s="2" t="inlineStr">
        <is>
          <t>S1_etp_jardin</t>
        </is>
      </c>
      <c r="B232" s="2" t="inlineStr">
        <is>
          <t>S1 — ETP jardin</t>
        </is>
      </c>
      <c r="C232" s="14" t="n">
        <v>1</v>
      </c>
      <c r="D232" s="14" t="n">
        <v>1</v>
      </c>
      <c r="E232" s="14" t="n">
        <v>1</v>
      </c>
      <c r="F232" s="2" t="inlineStr">
        <is>
          <t>ETP</t>
        </is>
      </c>
      <c r="G232" s="7" t="inlineStr">
        <is>
          <t>HYPOTHÈSE</t>
        </is>
      </c>
      <c r="H232" s="2" t="inlineStr">
        <is>
          <t>R2</t>
        </is>
      </c>
      <c r="I232"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2" s="2" t="inlineStr">
        <is>
          <t>Personnel — effectifs (ETP) du domaine</t>
        </is>
      </c>
    </row>
    <row r="233">
      <c r="A233" s="2" t="inlineStr">
        <is>
          <t>S1_etp_maison</t>
        </is>
      </c>
      <c r="B233" s="2" t="inlineStr">
        <is>
          <t>S1 — ETP maison</t>
        </is>
      </c>
      <c r="C233" s="14" t="n">
        <v>0.5</v>
      </c>
      <c r="D233" s="14" t="n">
        <v>0.5</v>
      </c>
      <c r="E233" s="14" t="n">
        <v>0.5</v>
      </c>
      <c r="F233" s="2" t="inlineStr">
        <is>
          <t>ETP</t>
        </is>
      </c>
      <c r="G233" s="7" t="inlineStr">
        <is>
          <t>HYPOTHÈSE</t>
        </is>
      </c>
      <c r="H233" s="2" t="inlineStr">
        <is>
          <t>R2</t>
        </is>
      </c>
      <c r="I233"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3" s="2" t="inlineStr">
        <is>
          <t>Personnel — effectifs (ETP) du domaine</t>
        </is>
      </c>
    </row>
    <row r="234">
      <c r="A234" s="2" t="inlineStr">
        <is>
          <t>S1_etp_resp_ecurie</t>
        </is>
      </c>
      <c r="B234" s="2" t="inlineStr">
        <is>
          <t>S1 — ETP resp ecurie</t>
        </is>
      </c>
      <c r="C234" s="14" t="n">
        <v>0</v>
      </c>
      <c r="D234" s="14" t="n">
        <v>0</v>
      </c>
      <c r="E234" s="14" t="n">
        <v>0</v>
      </c>
      <c r="F234" s="2" t="inlineStr">
        <is>
          <t>ETP</t>
        </is>
      </c>
      <c r="G234" s="7" t="inlineStr">
        <is>
          <t>HYPOTHÈSE</t>
        </is>
      </c>
      <c r="H234" s="2" t="inlineStr">
        <is>
          <t>R2</t>
        </is>
      </c>
      <c r="I234"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4" s="2" t="inlineStr">
        <is>
          <t>Personnel — effectifs (ETP) du domaine</t>
        </is>
      </c>
    </row>
    <row r="235">
      <c r="A235" s="2" t="inlineStr">
        <is>
          <t>S1_etp_soigneur</t>
        </is>
      </c>
      <c r="B235" s="2" t="inlineStr">
        <is>
          <t>S1 — ETP soigneur</t>
        </is>
      </c>
      <c r="C235" s="14" t="n">
        <v>0.6</v>
      </c>
      <c r="D235" s="14" t="n">
        <v>0.6</v>
      </c>
      <c r="E235" s="14" t="n">
        <v>0.6</v>
      </c>
      <c r="F235" s="2" t="inlineStr">
        <is>
          <t>ETP</t>
        </is>
      </c>
      <c r="G235" s="7" t="inlineStr">
        <is>
          <t>HYPOTHÈSE</t>
        </is>
      </c>
      <c r="H235" s="2" t="inlineStr">
        <is>
          <t>R2</t>
        </is>
      </c>
      <c r="I235"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5" s="2" t="inlineStr">
        <is>
          <t>Personnel — effectifs (ETP) du domaine</t>
        </is>
      </c>
    </row>
    <row r="236">
      <c r="A236" s="2" t="inlineStr">
        <is>
          <t>S2_etp_admin</t>
        </is>
      </c>
      <c r="B236" s="2" t="inlineStr">
        <is>
          <t>S2 — ETP admin</t>
        </is>
      </c>
      <c r="C236" s="14" t="n">
        <v>0</v>
      </c>
      <c r="D236" s="14" t="n">
        <v>0</v>
      </c>
      <c r="E236" s="14" t="n">
        <v>0</v>
      </c>
      <c r="F236" s="2" t="inlineStr">
        <is>
          <t>ETP</t>
        </is>
      </c>
      <c r="G236" s="7" t="inlineStr">
        <is>
          <t>HYPOTHÈSE</t>
        </is>
      </c>
      <c r="H236" s="2" t="inlineStr">
        <is>
          <t>R2</t>
        </is>
      </c>
      <c r="I236"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6" s="2" t="inlineStr">
        <is>
          <t>Personnel — effectifs (ETP) du domaine</t>
        </is>
      </c>
    </row>
    <row r="237">
      <c r="A237" s="2" t="inlineStr">
        <is>
          <t>S2_etp_agricole</t>
        </is>
      </c>
      <c r="B237" s="2" t="inlineStr">
        <is>
          <t>S2 — ETP agricole</t>
        </is>
      </c>
      <c r="C237" s="14" t="n">
        <v>1</v>
      </c>
      <c r="D237" s="14" t="n">
        <v>1</v>
      </c>
      <c r="E237" s="14" t="n">
        <v>1</v>
      </c>
      <c r="F237" s="2" t="inlineStr">
        <is>
          <t>ETP</t>
        </is>
      </c>
      <c r="G237" s="7" t="inlineStr">
        <is>
          <t>HYPOTHÈSE</t>
        </is>
      </c>
      <c r="H237" s="2" t="inlineStr">
        <is>
          <t>R2</t>
        </is>
      </c>
      <c r="I237"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7" s="2" t="inlineStr">
        <is>
          <t>Personnel — effectifs (ETP) du domaine</t>
        </is>
      </c>
    </row>
    <row r="238">
      <c r="A238" s="2" t="inlineStr">
        <is>
          <t>S2_etp_chef_jardinier</t>
        </is>
      </c>
      <c r="B238" s="2" t="inlineStr">
        <is>
          <t>S2 — ETP chef jardinier</t>
        </is>
      </c>
      <c r="C238" s="14" t="n">
        <v>1</v>
      </c>
      <c r="D238" s="14" t="n">
        <v>1</v>
      </c>
      <c r="E238" s="14" t="n">
        <v>1</v>
      </c>
      <c r="F238" s="2" t="inlineStr">
        <is>
          <t>ETP</t>
        </is>
      </c>
      <c r="G238" s="7" t="inlineStr">
        <is>
          <t>HYPOTHÈSE</t>
        </is>
      </c>
      <c r="H238" s="2" t="inlineStr">
        <is>
          <t>R2</t>
        </is>
      </c>
      <c r="I238"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8" s="2" t="inlineStr">
        <is>
          <t>Personnel — effectifs (ETP) du domaine</t>
        </is>
      </c>
    </row>
    <row r="239">
      <c r="A239" s="2" t="inlineStr">
        <is>
          <t>S2_etp_direction</t>
        </is>
      </c>
      <c r="B239" s="2" t="inlineStr">
        <is>
          <t>S2 — ETP direction</t>
        </is>
      </c>
      <c r="C239" s="14" t="n">
        <v>1</v>
      </c>
      <c r="D239" s="14" t="n">
        <v>1</v>
      </c>
      <c r="E239" s="14" t="n">
        <v>1</v>
      </c>
      <c r="F239" s="2" t="inlineStr">
        <is>
          <t>ETP</t>
        </is>
      </c>
      <c r="G239" s="7" t="inlineStr">
        <is>
          <t>HYPOTHÈSE</t>
        </is>
      </c>
      <c r="H239" s="2" t="inlineStr">
        <is>
          <t>R2</t>
        </is>
      </c>
      <c r="I239"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9" s="2" t="inlineStr">
        <is>
          <t>Personnel — effectifs (ETP) du domaine</t>
        </is>
      </c>
    </row>
    <row r="240">
      <c r="A240" s="2" t="inlineStr">
        <is>
          <t>S2_etp_entretien</t>
        </is>
      </c>
      <c r="B240" s="2" t="inlineStr">
        <is>
          <t>S2 — ETP entretien</t>
        </is>
      </c>
      <c r="C240" s="14" t="n">
        <v>1</v>
      </c>
      <c r="D240" s="14" t="n">
        <v>1</v>
      </c>
      <c r="E240" s="14" t="n">
        <v>1</v>
      </c>
      <c r="F240" s="2" t="inlineStr">
        <is>
          <t>ETP</t>
        </is>
      </c>
      <c r="G240" s="7" t="inlineStr">
        <is>
          <t>HYPOTHÈSE</t>
        </is>
      </c>
      <c r="H240" s="2" t="inlineStr">
        <is>
          <t>R2</t>
        </is>
      </c>
      <c r="I240"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0" s="2" t="inlineStr">
        <is>
          <t>Personnel — effectifs (ETP) du domaine</t>
        </is>
      </c>
    </row>
    <row r="241">
      <c r="A241" s="2" t="inlineStr">
        <is>
          <t>S2_etp_gouvernance</t>
        </is>
      </c>
      <c r="B241" s="2" t="inlineStr">
        <is>
          <t>S2 — ETP gouvernance</t>
        </is>
      </c>
      <c r="C241" s="14" t="n">
        <v>1</v>
      </c>
      <c r="D241" s="14" t="n">
        <v>1</v>
      </c>
      <c r="E241" s="14" t="n">
        <v>1</v>
      </c>
      <c r="F241" s="2" t="inlineStr">
        <is>
          <t>ETP</t>
        </is>
      </c>
      <c r="G241" s="7" t="inlineStr">
        <is>
          <t>HYPOTHÈSE</t>
        </is>
      </c>
      <c r="H241" s="2" t="inlineStr">
        <is>
          <t>R2</t>
        </is>
      </c>
      <c r="I241"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1" s="2" t="inlineStr">
        <is>
          <t>Personnel — effectifs (ETP) du domaine</t>
        </is>
      </c>
    </row>
    <row r="242">
      <c r="A242" s="2" t="inlineStr">
        <is>
          <t>S2_etp_jardin</t>
        </is>
      </c>
      <c r="B242" s="2" t="inlineStr">
        <is>
          <t>S2 — ETP jardin</t>
        </is>
      </c>
      <c r="C242" s="14" t="n">
        <v>2</v>
      </c>
      <c r="D242" s="14" t="n">
        <v>2</v>
      </c>
      <c r="E242" s="14" t="n">
        <v>2</v>
      </c>
      <c r="F242" s="2" t="inlineStr">
        <is>
          <t>ETP</t>
        </is>
      </c>
      <c r="G242" s="7" t="inlineStr">
        <is>
          <t>HYPOTHÈSE</t>
        </is>
      </c>
      <c r="H242" s="2" t="inlineStr">
        <is>
          <t>R2</t>
        </is>
      </c>
      <c r="I242"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2" s="2" t="inlineStr">
        <is>
          <t>Personnel — effectifs (ETP) du domaine</t>
        </is>
      </c>
    </row>
    <row r="243">
      <c r="A243" s="2" t="inlineStr">
        <is>
          <t>S2_etp_maison</t>
        </is>
      </c>
      <c r="B243" s="2" t="inlineStr">
        <is>
          <t>S2 — ETP maison</t>
        </is>
      </c>
      <c r="C243" s="14" t="n">
        <v>1</v>
      </c>
      <c r="D243" s="14" t="n">
        <v>1</v>
      </c>
      <c r="E243" s="14" t="n">
        <v>1</v>
      </c>
      <c r="F243" s="2" t="inlineStr">
        <is>
          <t>ETP</t>
        </is>
      </c>
      <c r="G243" s="7" t="inlineStr">
        <is>
          <t>HYPOTHÈSE</t>
        </is>
      </c>
      <c r="H243" s="2" t="inlineStr">
        <is>
          <t>R2</t>
        </is>
      </c>
      <c r="I243"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3" s="2" t="inlineStr">
        <is>
          <t>Personnel — effectifs (ETP) du domaine</t>
        </is>
      </c>
    </row>
    <row r="244">
      <c r="A244" s="2" t="inlineStr">
        <is>
          <t>S2_etp_resp_ecurie</t>
        </is>
      </c>
      <c r="B244" s="2" t="inlineStr">
        <is>
          <t>S2 — ETP resp ecurie</t>
        </is>
      </c>
      <c r="C244" s="14" t="n">
        <v>1</v>
      </c>
      <c r="D244" s="14" t="n">
        <v>1</v>
      </c>
      <c r="E244" s="14" t="n">
        <v>1</v>
      </c>
      <c r="F244" s="2" t="inlineStr">
        <is>
          <t>ETP</t>
        </is>
      </c>
      <c r="G244" s="7" t="inlineStr">
        <is>
          <t>HYPOTHÈSE</t>
        </is>
      </c>
      <c r="H244" s="2" t="inlineStr">
        <is>
          <t>R2</t>
        </is>
      </c>
      <c r="I244"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4" s="2" t="inlineStr">
        <is>
          <t>Personnel — effectifs (ETP) du domaine</t>
        </is>
      </c>
    </row>
    <row r="245">
      <c r="A245" s="2" t="inlineStr">
        <is>
          <t>S2_etp_soigneur</t>
        </is>
      </c>
      <c r="B245" s="2" t="inlineStr">
        <is>
          <t>S2 — ETP soigneur</t>
        </is>
      </c>
      <c r="C245" s="14" t="n">
        <v>1</v>
      </c>
      <c r="D245" s="14" t="n">
        <v>1</v>
      </c>
      <c r="E245" s="14" t="n">
        <v>1</v>
      </c>
      <c r="F245" s="2" t="inlineStr">
        <is>
          <t>ETP</t>
        </is>
      </c>
      <c r="G245" s="7" t="inlineStr">
        <is>
          <t>HYPOTHÈSE</t>
        </is>
      </c>
      <c r="H245" s="2" t="inlineStr">
        <is>
          <t>R2</t>
        </is>
      </c>
      <c r="I245"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5" s="2" t="inlineStr">
        <is>
          <t>Personnel — effectifs (ETP) du domaine</t>
        </is>
      </c>
    </row>
    <row r="246">
      <c r="A246" s="2" t="inlineStr">
        <is>
          <t>S3_etp_admin</t>
        </is>
      </c>
      <c r="B246" s="2" t="inlineStr">
        <is>
          <t>S3 — ETP admin</t>
        </is>
      </c>
      <c r="C246" s="14" t="n">
        <v>1</v>
      </c>
      <c r="D246" s="14" t="n">
        <v>1</v>
      </c>
      <c r="E246" s="14" t="n">
        <v>1</v>
      </c>
      <c r="F246" s="2" t="inlineStr">
        <is>
          <t>ETP</t>
        </is>
      </c>
      <c r="G246" s="7" t="inlineStr">
        <is>
          <t>HYPOTHÈSE</t>
        </is>
      </c>
      <c r="H246" s="2" t="inlineStr">
        <is>
          <t>R2</t>
        </is>
      </c>
      <c r="I246"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6" s="2" t="inlineStr">
        <is>
          <t>Personnel — effectifs (ETP) du domaine</t>
        </is>
      </c>
    </row>
    <row r="247">
      <c r="A247" s="2" t="inlineStr">
        <is>
          <t>S3_etp_agricole</t>
        </is>
      </c>
      <c r="B247" s="2" t="inlineStr">
        <is>
          <t>S3 — ETP agricole</t>
        </is>
      </c>
      <c r="C247" s="14" t="n">
        <v>2</v>
      </c>
      <c r="D247" s="14" t="n">
        <v>2</v>
      </c>
      <c r="E247" s="14" t="n">
        <v>2</v>
      </c>
      <c r="F247" s="2" t="inlineStr">
        <is>
          <t>ETP</t>
        </is>
      </c>
      <c r="G247" s="7" t="inlineStr">
        <is>
          <t>HYPOTHÈSE</t>
        </is>
      </c>
      <c r="H247" s="2" t="inlineStr">
        <is>
          <t>R2</t>
        </is>
      </c>
      <c r="I247"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7" s="2" t="inlineStr">
        <is>
          <t>Personnel — effectifs (ETP) du domaine</t>
        </is>
      </c>
    </row>
    <row r="248">
      <c r="A248" s="2" t="inlineStr">
        <is>
          <t>S3_etp_chef_jardinier</t>
        </is>
      </c>
      <c r="B248" s="2" t="inlineStr">
        <is>
          <t>S3 — ETP chef jardinier</t>
        </is>
      </c>
      <c r="C248" s="14" t="n">
        <v>1</v>
      </c>
      <c r="D248" s="14" t="n">
        <v>1</v>
      </c>
      <c r="E248" s="14" t="n">
        <v>1</v>
      </c>
      <c r="F248" s="2" t="inlineStr">
        <is>
          <t>ETP</t>
        </is>
      </c>
      <c r="G248" s="7" t="inlineStr">
        <is>
          <t>HYPOTHÈSE</t>
        </is>
      </c>
      <c r="H248" s="2" t="inlineStr">
        <is>
          <t>R2</t>
        </is>
      </c>
      <c r="I248"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8" s="2" t="inlineStr">
        <is>
          <t>Personnel — effectifs (ETP) du domaine</t>
        </is>
      </c>
    </row>
    <row r="249">
      <c r="A249" s="2" t="inlineStr">
        <is>
          <t>S3_etp_direction</t>
        </is>
      </c>
      <c r="B249" s="2" t="inlineStr">
        <is>
          <t>S3 — ETP direction</t>
        </is>
      </c>
      <c r="C249" s="14" t="n">
        <v>1</v>
      </c>
      <c r="D249" s="14" t="n">
        <v>1</v>
      </c>
      <c r="E249" s="14" t="n">
        <v>1</v>
      </c>
      <c r="F249" s="2" t="inlineStr">
        <is>
          <t>ETP</t>
        </is>
      </c>
      <c r="G249" s="7" t="inlineStr">
        <is>
          <t>HYPOTHÈSE</t>
        </is>
      </c>
      <c r="H249" s="2" t="inlineStr">
        <is>
          <t>R2</t>
        </is>
      </c>
      <c r="I249"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9" s="2" t="inlineStr">
        <is>
          <t>Personnel — effectifs (ETP) du domaine</t>
        </is>
      </c>
    </row>
    <row r="250">
      <c r="A250" s="2" t="inlineStr">
        <is>
          <t>S3_etp_entretien</t>
        </is>
      </c>
      <c r="B250" s="2" t="inlineStr">
        <is>
          <t>S3 — ETP entretien</t>
        </is>
      </c>
      <c r="C250" s="14" t="n">
        <v>2</v>
      </c>
      <c r="D250" s="14" t="n">
        <v>2</v>
      </c>
      <c r="E250" s="14" t="n">
        <v>2</v>
      </c>
      <c r="F250" s="2" t="inlineStr">
        <is>
          <t>ETP</t>
        </is>
      </c>
      <c r="G250" s="7" t="inlineStr">
        <is>
          <t>HYPOTHÈSE</t>
        </is>
      </c>
      <c r="H250" s="2" t="inlineStr">
        <is>
          <t>R2</t>
        </is>
      </c>
      <c r="I250"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50" s="2" t="inlineStr">
        <is>
          <t>Personnel — effectifs (ETP) du domaine</t>
        </is>
      </c>
    </row>
    <row r="251">
      <c r="A251" s="2" t="inlineStr">
        <is>
          <t>S3_etp_gouvernance</t>
        </is>
      </c>
      <c r="B251" s="2" t="inlineStr">
        <is>
          <t>S3 — ETP gouvernance</t>
        </is>
      </c>
      <c r="C251" s="14" t="n">
        <v>2</v>
      </c>
      <c r="D251" s="14" t="n">
        <v>2</v>
      </c>
      <c r="E251" s="14" t="n">
        <v>2</v>
      </c>
      <c r="F251" s="2" t="inlineStr">
        <is>
          <t>ETP</t>
        </is>
      </c>
      <c r="G251" s="7" t="inlineStr">
        <is>
          <t>HYPOTHÈSE</t>
        </is>
      </c>
      <c r="H251" s="2" t="inlineStr">
        <is>
          <t>R2</t>
        </is>
      </c>
      <c r="I251"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51" s="2" t="inlineStr">
        <is>
          <t>Personnel — effectifs (ETP) du domaine</t>
        </is>
      </c>
    </row>
    <row r="252">
      <c r="A252" s="2" t="inlineStr">
        <is>
          <t>S3_etp_jardin</t>
        </is>
      </c>
      <c r="B252" s="2" t="inlineStr">
        <is>
          <t>S3 — ETP jardin</t>
        </is>
      </c>
      <c r="C252" s="14" t="n">
        <v>11</v>
      </c>
      <c r="D252" s="14" t="n">
        <v>11</v>
      </c>
      <c r="E252" s="14" t="n">
        <v>11</v>
      </c>
      <c r="F252" s="2" t="inlineStr">
        <is>
          <t>ETP</t>
        </is>
      </c>
      <c r="G252" s="7" t="inlineStr">
        <is>
          <t>HYPOTHÈSE</t>
        </is>
      </c>
      <c r="H252" s="2" t="inlineStr">
        <is>
          <t>R2</t>
        </is>
      </c>
      <c r="I252"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52" s="2" t="inlineStr">
        <is>
          <t>Personnel — effectifs (ETP) du domaine</t>
        </is>
      </c>
    </row>
    <row r="253">
      <c r="A253" s="2" t="inlineStr">
        <is>
          <t>S3_etp_maison</t>
        </is>
      </c>
      <c r="B253" s="2" t="inlineStr">
        <is>
          <t>S3 — ETP maison</t>
        </is>
      </c>
      <c r="C253" s="14" t="n">
        <v>2</v>
      </c>
      <c r="D253" s="14" t="n">
        <v>2</v>
      </c>
      <c r="E253" s="14" t="n">
        <v>2</v>
      </c>
      <c r="F253" s="2" t="inlineStr">
        <is>
          <t>ETP</t>
        </is>
      </c>
      <c r="G253" s="7" t="inlineStr">
        <is>
          <t>HYPOTHÈSE</t>
        </is>
      </c>
      <c r="H253" s="2" t="inlineStr">
        <is>
          <t>R2</t>
        </is>
      </c>
      <c r="I253"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53" s="2" t="inlineStr">
        <is>
          <t>Personnel — effectifs (ETP) du domaine</t>
        </is>
      </c>
    </row>
    <row r="254">
      <c r="A254" s="2" t="inlineStr">
        <is>
          <t>S3_etp_resp_ecurie</t>
        </is>
      </c>
      <c r="B254" s="2" t="inlineStr">
        <is>
          <t>S3 — ETP resp ecurie</t>
        </is>
      </c>
      <c r="C254" s="14" t="n">
        <v>1</v>
      </c>
      <c r="D254" s="14" t="n">
        <v>1</v>
      </c>
      <c r="E254" s="14" t="n">
        <v>1</v>
      </c>
      <c r="F254" s="2" t="inlineStr">
        <is>
          <t>ETP</t>
        </is>
      </c>
      <c r="G254" s="7" t="inlineStr">
        <is>
          <t>HYPOTHÈSE</t>
        </is>
      </c>
      <c r="H254" s="2" t="inlineStr">
        <is>
          <t>R2</t>
        </is>
      </c>
      <c r="I254"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54" s="2" t="inlineStr">
        <is>
          <t>Personnel — effectifs (ETP) du domaine</t>
        </is>
      </c>
    </row>
    <row r="255">
      <c r="A255" s="2" t="inlineStr">
        <is>
          <t>S3_etp_soigneur</t>
        </is>
      </c>
      <c r="B255" s="2" t="inlineStr">
        <is>
          <t>S3 — ETP soigneur</t>
        </is>
      </c>
      <c r="C255" s="14" t="n">
        <v>1.5</v>
      </c>
      <c r="D255" s="14" t="n">
        <v>1.5</v>
      </c>
      <c r="E255" s="14" t="n">
        <v>1.5</v>
      </c>
      <c r="F255" s="2" t="inlineStr">
        <is>
          <t>ETP</t>
        </is>
      </c>
      <c r="G255" s="7" t="inlineStr">
        <is>
          <t>HYPOTHÈSE</t>
        </is>
      </c>
      <c r="H255" s="2" t="inlineStr">
        <is>
          <t>R2</t>
        </is>
      </c>
      <c r="I255"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55" s="2" t="inlineStr">
        <is>
          <t>Personnel — effectifs (ETP) du domaine</t>
        </is>
      </c>
    </row>
    <row r="256">
      <c r="A256" s="5" t="inlineStr">
        <is>
          <t>— Projection — dérives et règles —</t>
        </is>
      </c>
    </row>
    <row r="257">
      <c r="A257" s="2" t="inlineStr">
        <is>
          <t>campagne_periode</t>
        </is>
      </c>
      <c r="B257" s="2" t="inlineStr">
        <is>
          <t>Périodicité des campagnes de gros entretien</t>
        </is>
      </c>
      <c r="C257" s="14" t="n">
        <v>4</v>
      </c>
      <c r="D257" s="14" t="n">
        <v>4</v>
      </c>
      <c r="E257" s="14" t="n">
        <v>4</v>
      </c>
      <c r="F257" s="2" t="inlineStr">
        <is>
          <t>années</t>
        </is>
      </c>
      <c r="G257" s="7" t="inlineStr">
        <is>
          <t>HYPOTHÈSE</t>
        </is>
      </c>
      <c r="H257" s="2" t="inlineStr">
        <is>
          <t>R1-11; R1-14</t>
        </is>
      </c>
      <c r="I257" s="8" t="inlineStr">
        <is>
          <t>Les toitures de châteaux privés sont refaites par tranches successives.</t>
        </is>
      </c>
      <c r="J257" s="2" t="inlineStr">
        <is>
          <t>Projection — dérives et règles</t>
        </is>
      </c>
    </row>
    <row r="258">
      <c r="A258" s="2" t="inlineStr">
        <is>
          <t>dot_rendement</t>
        </is>
      </c>
      <c r="B258" s="2" t="inlineStr">
        <is>
          <t>Rendement réel net de frais et d'impôts de la dotation (moyenne)</t>
        </is>
      </c>
      <c r="C258" s="9" t="n">
        <v>0.035</v>
      </c>
      <c r="D258" s="9" t="n">
        <v>0.03</v>
      </c>
      <c r="E258" s="9" t="n">
        <v>0.0225</v>
      </c>
      <c r="F258" s="2" t="inlineStr">
        <is>
          <t>% par an</t>
        </is>
      </c>
      <c r="G258" s="11" t="inlineStr">
        <is>
          <t>ESTIMATION</t>
        </is>
      </c>
      <c r="H258" s="2" t="inlineStr">
        <is>
          <t>R8-32; R8-34; R8-31</t>
        </is>
      </c>
      <c r="I258" s="8" t="inlineStr">
        <is>
          <t>Actions mondiales : 3,5 % réel par an depuis 2000 (UBS 2025), avant impôt ; dotations américaines exonérées : cible inflation + 5 %. Portefeuille diversifié d'un résident français, après impôt : ≈ 3 %.</t>
        </is>
      </c>
      <c r="J258" s="2" t="inlineStr">
        <is>
          <t>Projection — dérives et règles</t>
        </is>
      </c>
    </row>
    <row r="259">
      <c r="A259" s="2" t="inlineStr">
        <is>
          <t>g_energie</t>
        </is>
      </c>
      <c r="B259" s="2" t="inlineStr">
        <is>
          <t>Dérive réelle annuelle du prix de l'énergie</t>
        </is>
      </c>
      <c r="C259" s="9" t="n">
        <v>0</v>
      </c>
      <c r="D259" s="9" t="n">
        <v>0.01</v>
      </c>
      <c r="E259" s="9" t="n">
        <v>0.025</v>
      </c>
      <c r="F259" s="2" t="inlineStr">
        <is>
          <t>% par an</t>
        </is>
      </c>
      <c r="G259" s="7" t="inlineStr">
        <is>
          <t>HYPOTHÈSE</t>
        </is>
      </c>
      <c r="H259" s="2" t="inlineStr">
        <is>
          <t>R1-22; R1-24</t>
        </is>
      </c>
      <c r="I259" s="8" t="inlineStr"/>
      <c r="J259" s="2" t="inlineStr">
        <is>
          <t>Projection — dérives et règles</t>
        </is>
      </c>
    </row>
    <row r="260">
      <c r="A260" s="2" t="inlineStr">
        <is>
          <t>g_recettes</t>
        </is>
      </c>
      <c r="B260" s="2" t="inlineStr">
        <is>
          <t>Dérive réelle annuelle des prix des activités</t>
        </is>
      </c>
      <c r="C260" s="9" t="n">
        <v>0.005</v>
      </c>
      <c r="D260" s="9" t="n">
        <v>0</v>
      </c>
      <c r="E260" s="9" t="n">
        <v>-0.005</v>
      </c>
      <c r="F260" s="2" t="inlineStr">
        <is>
          <t>% par an</t>
        </is>
      </c>
      <c r="G260" s="7" t="inlineStr">
        <is>
          <t>HYPOTHÈSE</t>
        </is>
      </c>
      <c r="H260" s="2" t="inlineStr"/>
      <c r="I260" s="8" t="inlineStr"/>
      <c r="J260" s="2" t="inlineStr">
        <is>
          <t>Projection — dérives et règles</t>
        </is>
      </c>
    </row>
    <row r="261">
      <c r="A261" s="2" t="inlineStr">
        <is>
          <t>g_salaires</t>
        </is>
      </c>
      <c r="B261" s="2" t="inlineStr">
        <is>
          <t>Dérive réelle annuelle des salaires (au-delà de l'inflation)</t>
        </is>
      </c>
      <c r="C261" s="9" t="n">
        <v>0</v>
      </c>
      <c r="D261" s="9" t="n">
        <v>0.005</v>
      </c>
      <c r="E261" s="9" t="n">
        <v>0.01</v>
      </c>
      <c r="F261" s="2" t="inlineStr">
        <is>
          <t>% par an</t>
        </is>
      </c>
      <c r="G261" s="11" t="inlineStr">
        <is>
          <t>ESTIMATION</t>
        </is>
      </c>
      <c r="H261" s="2" t="inlineStr">
        <is>
          <t>D-01</t>
        </is>
      </c>
      <c r="I261" s="8" t="inlineStr">
        <is>
          <t>Banque de France (sept. 2026) : salaire moyen par tête +2,0 %, +2,6 %, +2,4 % en 2026-2028, pour une inflation de 2,3 %, 1,9 %, 1,6 %, soit environ +0,4 % réel par an en moyenne.</t>
        </is>
      </c>
      <c r="J261" s="2" t="inlineStr">
        <is>
          <t>Projection — dérives et règles</t>
        </is>
      </c>
    </row>
    <row r="262">
      <c r="A262" s="2" t="inlineStr">
        <is>
          <t>g_travaux</t>
        </is>
      </c>
      <c r="B262" s="2" t="inlineStr">
        <is>
          <t>Dérive réelle annuelle du coût des travaux</t>
        </is>
      </c>
      <c r="C262" s="9" t="n">
        <v>0</v>
      </c>
      <c r="D262" s="9" t="n">
        <v>0.005</v>
      </c>
      <c r="E262" s="9" t="n">
        <v>0.01</v>
      </c>
      <c r="F262" s="2" t="inlineStr">
        <is>
          <t>% par an</t>
        </is>
      </c>
      <c r="G262" s="11" t="inlineStr">
        <is>
          <t>ESTIMATION</t>
        </is>
      </c>
      <c r="H262" s="2" t="inlineStr">
        <is>
          <t>D-04; D-01</t>
        </is>
      </c>
      <c r="I262" s="8" t="inlineStr">
        <is>
          <t>BT01 +1,3 % en 2025 pour une inflation de 0,9 %.</t>
        </is>
      </c>
      <c r="J262" s="2" t="inlineStr">
        <is>
          <t>Projection — dérives et règles</t>
        </is>
      </c>
    </row>
    <row r="263">
      <c r="A263" s="2" t="inlineStr">
        <is>
          <t>inflation</t>
        </is>
      </c>
      <c r="B263" s="2" t="inlineStr">
        <is>
          <t>Inflation annuelle (pour convertir une annuité nominale en euros constants)</t>
        </is>
      </c>
      <c r="C263" s="9" t="n">
        <v>0.02</v>
      </c>
      <c r="D263" s="9" t="n">
        <v>0.02</v>
      </c>
      <c r="E263" s="9" t="n">
        <v>0.02</v>
      </c>
      <c r="F263" s="2" t="inlineStr">
        <is>
          <t>% par an</t>
        </is>
      </c>
      <c r="G263" s="11" t="inlineStr">
        <is>
          <t>ESTIMATION</t>
        </is>
      </c>
      <c r="H263" s="2" t="inlineStr">
        <is>
          <t>D-01</t>
        </is>
      </c>
      <c r="I263" s="8" t="inlineStr">
        <is>
          <t>Cible de la BCE ; projections de la Banque de France : 1,9 % (2027), 1,6 % (2028).</t>
        </is>
      </c>
      <c r="J263" s="2" t="inlineStr">
        <is>
          <t>Projection — dérives et règles</t>
        </is>
      </c>
    </row>
    <row r="264">
      <c r="A264" s="2" t="inlineStr">
        <is>
          <t>mh_part_deductible</t>
        </is>
      </c>
      <c r="B264" s="2" t="inlineStr">
        <is>
          <t>Avantage MH : part du besoin constituée de charges déductibles (bâti, taxes, assurances)</t>
        </is>
      </c>
      <c r="C264" s="9" t="n">
        <v>0.45</v>
      </c>
      <c r="D264" s="9" t="n">
        <v>0.45</v>
      </c>
      <c r="E264" s="9" t="n">
        <v>0.45</v>
      </c>
      <c r="F264" s="2" t="inlineStr">
        <is>
          <t>%</t>
        </is>
      </c>
      <c r="G264" s="7" t="inlineStr">
        <is>
          <t>HYPOTHÈSE</t>
        </is>
      </c>
      <c r="H264" s="2" t="inlineStr">
        <is>
          <t>R3-05</t>
        </is>
      </c>
      <c r="I264" s="8" t="inlineStr">
        <is>
          <t>Réparations, entretien, amélioration, impôts fonciers, intérêts, primes d'assurance des MH (BOFiP). Le personnel de maison et les chevaux n'en font pas partie.</t>
        </is>
      </c>
      <c r="J264" s="2" t="inlineStr">
        <is>
          <t>Projection — dérives et règles</t>
        </is>
      </c>
    </row>
    <row r="265">
      <c r="A265" s="2" t="inlineStr">
        <is>
          <t>mh_taux_deduction</t>
        </is>
      </c>
      <c r="B265" s="2" t="inlineStr">
        <is>
          <t>Avantage MH : taux de déduction (50 % fermé au public, 100 % ouvert 50 jours par an)</t>
        </is>
      </c>
      <c r="C265" s="9" t="n">
        <v>0.5</v>
      </c>
      <c r="D265" s="9" t="n">
        <v>0.5</v>
      </c>
      <c r="E265" s="9" t="n">
        <v>0.5</v>
      </c>
      <c r="F265" s="2" t="inlineStr">
        <is>
          <t>%</t>
        </is>
      </c>
      <c r="G265" s="12" t="inlineStr">
        <is>
          <t>SOURCÉ</t>
        </is>
      </c>
      <c r="H265" s="2" t="inlineStr">
        <is>
          <t>R3-02; R3-04</t>
        </is>
      </c>
      <c r="I265" s="8" t="inlineStr"/>
      <c r="J265" s="2" t="inlineStr">
        <is>
          <t>Projection — dérives et règles</t>
        </is>
      </c>
    </row>
    <row r="266">
      <c r="A266" s="2" t="inlineStr">
        <is>
          <t>mh_tmi</t>
        </is>
      </c>
      <c r="B266" s="2" t="inlineStr">
        <is>
          <t>Avantage fiscal MH : taux marginal d'impôt sur le revenu du propriétaire</t>
        </is>
      </c>
      <c r="C266" s="9" t="n">
        <v>0.45</v>
      </c>
      <c r="D266" s="9" t="n">
        <v>0.41</v>
      </c>
      <c r="E266" s="9" t="n">
        <v>0.3</v>
      </c>
      <c r="F266" s="2" t="inlineStr">
        <is>
          <t>%</t>
        </is>
      </c>
      <c r="G266" s="7" t="inlineStr">
        <is>
          <t>HYPOTHÈSE</t>
        </is>
      </c>
      <c r="H266" s="2" t="inlineStr">
        <is>
          <t>R3-02; R3-05</t>
        </is>
      </c>
      <c r="I266" s="8" t="inlineStr"/>
      <c r="J266" s="2" t="inlineStr">
        <is>
          <t>Projection — dérives et règles</t>
        </is>
      </c>
    </row>
    <row r="267">
      <c r="A267" s="2" t="inlineStr">
        <is>
          <t>part_surplus_dotation</t>
        </is>
      </c>
      <c r="B267" s="2" t="inlineStr">
        <is>
          <t>Part des excédents annuels versée à la dotation</t>
        </is>
      </c>
      <c r="C267" s="9" t="n">
        <v>1</v>
      </c>
      <c r="D267" s="9" t="n">
        <v>1</v>
      </c>
      <c r="E267" s="9" t="n">
        <v>1</v>
      </c>
      <c r="F267" s="2" t="inlineStr">
        <is>
          <t>%</t>
        </is>
      </c>
      <c r="G267" s="7" t="inlineStr">
        <is>
          <t>HYPOTHÈSE</t>
        </is>
      </c>
      <c r="H267" s="2" t="inlineStr"/>
      <c r="I267" s="8" t="inlineStr"/>
      <c r="J267" s="2" t="inlineStr">
        <is>
          <t>Projection — dérives et règles</t>
        </is>
      </c>
    </row>
    <row r="268">
      <c r="A268" s="2" t="inlineStr">
        <is>
          <t>rampe_an1</t>
        </is>
      </c>
      <c r="B268" s="2" t="inlineStr">
        <is>
          <t>Montée en charge des activités : année 1</t>
        </is>
      </c>
      <c r="C268" s="9" t="n">
        <v>0.4</v>
      </c>
      <c r="D268" s="9" t="n">
        <v>0.4</v>
      </c>
      <c r="E268" s="9" t="n">
        <v>0.4</v>
      </c>
      <c r="F268" s="2" t="inlineStr">
        <is>
          <t>%</t>
        </is>
      </c>
      <c r="G268" s="7" t="inlineStr">
        <is>
          <t>HYPOTHÈSE</t>
        </is>
      </c>
      <c r="H268" s="2" t="inlineStr"/>
      <c r="I268" s="8" t="inlineStr"/>
      <c r="J268" s="2" t="inlineStr">
        <is>
          <t>Projection — dérives et règles</t>
        </is>
      </c>
    </row>
    <row r="269">
      <c r="A269" s="2" t="inlineStr">
        <is>
          <t>rampe_an2</t>
        </is>
      </c>
      <c r="B269" s="2" t="inlineStr">
        <is>
          <t>Montée en charge des activités : année 2</t>
        </is>
      </c>
      <c r="C269" s="9" t="n">
        <v>0.75</v>
      </c>
      <c r="D269" s="9" t="n">
        <v>0.75</v>
      </c>
      <c r="E269" s="9" t="n">
        <v>0.75</v>
      </c>
      <c r="F269" s="2" t="inlineStr">
        <is>
          <t>%</t>
        </is>
      </c>
      <c r="G269" s="7" t="inlineStr">
        <is>
          <t>HYPOTHÈSE</t>
        </is>
      </c>
      <c r="H269" s="2" t="inlineStr"/>
      <c r="I269" s="8" t="inlineStr"/>
      <c r="J269" s="2" t="inlineStr">
        <is>
          <t>Projection — dérives et règles</t>
        </is>
      </c>
    </row>
    <row r="270">
      <c r="A270" s="2" t="inlineStr">
        <is>
          <t>subvention_taux</t>
        </is>
      </c>
      <c r="B270" s="2" t="inlineStr">
        <is>
          <t>Subventions de travaux : part moyenne des campagnes (scénario favorable seulement)</t>
        </is>
      </c>
      <c r="C270" s="9" t="n">
        <v>0.1</v>
      </c>
      <c r="D270" s="9" t="n">
        <v>0.1</v>
      </c>
      <c r="E270" s="9" t="n">
        <v>0.1</v>
      </c>
      <c r="F270" s="2" t="inlineStr">
        <is>
          <t>%</t>
        </is>
      </c>
      <c r="G270" s="11" t="inlineStr">
        <is>
          <t>ESTIMATION</t>
        </is>
      </c>
      <c r="H270" s="2" t="inlineStr">
        <is>
          <t>R1-34; R1-33</t>
        </is>
      </c>
      <c r="I270" s="8" t="inlineStr">
        <is>
          <t>DRAC : 20 % (inscrit) ou 40 % (classé) des travaux éligibles, crédits en baisse de 29 % en 2026. 10 % du total, après prise en compte de la part non éligible et de la probabilité d'obtention.</t>
        </is>
      </c>
      <c r="J270" s="2" t="inlineStr">
        <is>
          <t>Projection — dérives et règles</t>
        </is>
      </c>
    </row>
    <row r="271">
      <c r="A271" s="2" t="inlineStr">
        <is>
          <t>taux_reserve</t>
        </is>
      </c>
      <c r="B271" s="2" t="inlineStr">
        <is>
          <t>Rendement réel de la réserve de trésorerie</t>
        </is>
      </c>
      <c r="C271" s="9" t="n">
        <v>0</v>
      </c>
      <c r="D271" s="9" t="n">
        <v>0</v>
      </c>
      <c r="E271" s="9" t="n">
        <v>0</v>
      </c>
      <c r="F271" s="2" t="inlineStr">
        <is>
          <t>% par an</t>
        </is>
      </c>
      <c r="G271" s="7" t="inlineStr">
        <is>
          <t>HYPOTHÈSE</t>
        </is>
      </c>
      <c r="H271" s="2" t="inlineStr"/>
      <c r="I271" s="8" t="inlineStr">
        <is>
          <t>Placement liquide ≈ inflation.</t>
        </is>
      </c>
      <c r="J271" s="2" t="inlineStr">
        <is>
          <t>Projection — dérives et règles</t>
        </is>
      </c>
    </row>
    <row r="272">
      <c r="A272" s="5" t="inlineStr">
        <is>
          <t>— Projection — moteur extérieur et options —</t>
        </is>
      </c>
    </row>
    <row r="273">
      <c r="A273" s="2" t="inlineStr">
        <is>
          <t>S1_sol_div</t>
        </is>
      </c>
      <c r="B273" s="2" t="inlineStr">
        <is>
          <t>S1 — dividendes nets annuels pendant la transition</t>
        </is>
      </c>
      <c r="C273" s="6" t="n">
        <v>400000</v>
      </c>
      <c r="D273" s="6" t="n">
        <v>400000</v>
      </c>
      <c r="E273" s="6" t="n">
        <v>400000</v>
      </c>
      <c r="F273" s="2" t="inlineStr">
        <is>
          <t>€/an</t>
        </is>
      </c>
      <c r="G273" s="7" t="inlineStr">
        <is>
          <t>HYPOTHÈSE</t>
        </is>
      </c>
      <c r="H273" s="2" t="inlineStr"/>
      <c r="I273" s="8" t="inlineStr"/>
      <c r="J273" s="2" t="inlineStr">
        <is>
          <t>Projection — moteur extérieur et options</t>
        </is>
      </c>
    </row>
    <row r="274">
      <c r="A274" s="2" t="inlineStr">
        <is>
          <t>S1_sol_div_annees</t>
        </is>
      </c>
      <c r="B274" s="2" t="inlineStr">
        <is>
          <t>S1 — durée de la transition</t>
        </is>
      </c>
      <c r="C274" s="14" t="n">
        <v>10</v>
      </c>
      <c r="D274" s="14" t="n">
        <v>10</v>
      </c>
      <c r="E274" s="14" t="n">
        <v>10</v>
      </c>
      <c r="F274" s="2" t="inlineStr">
        <is>
          <t>années</t>
        </is>
      </c>
      <c r="G274" s="7" t="inlineStr">
        <is>
          <t>HYPOTHÈSE</t>
        </is>
      </c>
      <c r="H274" s="2" t="inlineStr"/>
      <c r="I274" s="8" t="inlineStr"/>
      <c r="J274" s="2" t="inlineStr">
        <is>
          <t>Projection — moteur extérieur et options</t>
        </is>
      </c>
    </row>
    <row r="275">
      <c r="A275" s="2" t="inlineStr">
        <is>
          <t>S1_sol_dotation0</t>
        </is>
      </c>
      <c r="B275" s="2" t="inlineStr">
        <is>
          <t>S1 — dotation affectée disponible à l'année 1</t>
        </is>
      </c>
      <c r="C275" s="6" t="n">
        <v>15000000</v>
      </c>
      <c r="D275" s="6" t="n">
        <v>15000000</v>
      </c>
      <c r="E275" s="6" t="n">
        <v>15000000</v>
      </c>
      <c r="F275" s="2" t="inlineStr">
        <is>
          <t>€</t>
        </is>
      </c>
      <c r="G275" s="7" t="inlineStr">
        <is>
          <t>HYPOTHÈSE</t>
        </is>
      </c>
      <c r="H275" s="2" t="inlineStr"/>
      <c r="I275" s="8" t="inlineStr"/>
      <c r="J275" s="2" t="inlineStr">
        <is>
          <t>Projection — moteur extérieur et options</t>
        </is>
      </c>
    </row>
    <row r="276">
      <c r="A276" s="2" t="inlineStr">
        <is>
          <t>S1_sol_reserve0</t>
        </is>
      </c>
      <c r="B276" s="2" t="inlineStr">
        <is>
          <t>S1 — réserve de trésorerie initiale (≈ 1,2 an de besoin)</t>
        </is>
      </c>
      <c r="C276" s="6" t="n">
        <v>400000</v>
      </c>
      <c r="D276" s="6" t="n">
        <v>400000</v>
      </c>
      <c r="E276" s="6" t="n">
        <v>400000</v>
      </c>
      <c r="F276" s="2" t="inlineStr">
        <is>
          <t>€</t>
        </is>
      </c>
      <c r="G276" s="7" t="inlineStr">
        <is>
          <t>HYPOTHÈSE</t>
        </is>
      </c>
      <c r="H276" s="2" t="inlineStr"/>
      <c r="I276" s="8" t="inlineStr"/>
      <c r="J276" s="2" t="inlineStr">
        <is>
          <t>Projection — moteur extérieur et options</t>
        </is>
      </c>
    </row>
    <row r="277">
      <c r="A277" s="2" t="inlineStr">
        <is>
          <t>S2_sol_div</t>
        </is>
      </c>
      <c r="B277" s="2" t="inlineStr">
        <is>
          <t>S2 — dividendes nets annuels de l'entreprise extérieure pendant la transition</t>
        </is>
      </c>
      <c r="C277" s="6" t="n">
        <v>1000000</v>
      </c>
      <c r="D277" s="6" t="n">
        <v>1000000</v>
      </c>
      <c r="E277" s="6" t="n">
        <v>1000000</v>
      </c>
      <c r="F277" s="2" t="inlineStr">
        <is>
          <t>€/an</t>
        </is>
      </c>
      <c r="G277" s="7" t="inlineStr">
        <is>
          <t>HYPOTHÈSE</t>
        </is>
      </c>
      <c r="H277" s="2" t="inlineStr"/>
      <c r="I277" s="8" t="inlineStr"/>
      <c r="J277" s="2" t="inlineStr">
        <is>
          <t>Projection — moteur extérieur et options</t>
        </is>
      </c>
    </row>
    <row r="278">
      <c r="A278" s="2" t="inlineStr">
        <is>
          <t>S2_sol_div_annees</t>
        </is>
      </c>
      <c r="B278" s="2" t="inlineStr">
        <is>
          <t>S2 — durée de la transition (années de dividendes)</t>
        </is>
      </c>
      <c r="C278" s="14" t="n">
        <v>10</v>
      </c>
      <c r="D278" s="14" t="n">
        <v>10</v>
      </c>
      <c r="E278" s="14" t="n">
        <v>10</v>
      </c>
      <c r="F278" s="2" t="inlineStr">
        <is>
          <t>années</t>
        </is>
      </c>
      <c r="G278" s="7" t="inlineStr">
        <is>
          <t>HYPOTHÈSE</t>
        </is>
      </c>
      <c r="H278" s="2" t="inlineStr"/>
      <c r="I278" s="8" t="inlineStr"/>
      <c r="J278" s="2" t="inlineStr">
        <is>
          <t>Projection — moteur extérieur et options</t>
        </is>
      </c>
    </row>
    <row r="279">
      <c r="A279" s="2" t="inlineStr">
        <is>
          <t>S2_sol_dotation0</t>
        </is>
      </c>
      <c r="B279" s="2" t="inlineStr">
        <is>
          <t>S2 — dotation affectée disponible à l'année 1</t>
        </is>
      </c>
      <c r="C279" s="6" t="n">
        <v>60000000</v>
      </c>
      <c r="D279" s="6" t="n">
        <v>60000000</v>
      </c>
      <c r="E279" s="6" t="n">
        <v>60000000</v>
      </c>
      <c r="F279" s="2" t="inlineStr">
        <is>
          <t>€</t>
        </is>
      </c>
      <c r="G279" s="7" t="inlineStr">
        <is>
          <t>HYPOTHÈSE</t>
        </is>
      </c>
      <c r="H279" s="2" t="inlineStr"/>
      <c r="I279" s="8" t="inlineStr">
        <is>
          <t>Dimensionnement REQUIS, pas une ressource acquise : avec 1 M€/an de dividendes pendant 10 ans, environ 90 % de chances de tenir 30 ans et 96 % de tenir 20 ans selon le Monte-Carlo (sorties/mc_grille_hybride.json).</t>
        </is>
      </c>
      <c r="J279" s="2" t="inlineStr">
        <is>
          <t>Projection — moteur extérieur et options</t>
        </is>
      </c>
    </row>
    <row r="280">
      <c r="A280" s="2" t="inlineStr">
        <is>
          <t>S2_sol_reserve0</t>
        </is>
      </c>
      <c r="B280" s="2" t="inlineStr">
        <is>
          <t>S2 — réserve de trésorerie initiale (≈ 1,2 an de besoin)</t>
        </is>
      </c>
      <c r="C280" s="6" t="n">
        <v>1500000</v>
      </c>
      <c r="D280" s="6" t="n">
        <v>1500000</v>
      </c>
      <c r="E280" s="6" t="n">
        <v>1500000</v>
      </c>
      <c r="F280" s="2" t="inlineStr">
        <is>
          <t>€</t>
        </is>
      </c>
      <c r="G280" s="7" t="inlineStr">
        <is>
          <t>HYPOTHÈSE</t>
        </is>
      </c>
      <c r="H280" s="2" t="inlineStr"/>
      <c r="I280" s="8" t="inlineStr"/>
      <c r="J280" s="2" t="inlineStr">
        <is>
          <t>Projection — moteur extérieur et options</t>
        </is>
      </c>
    </row>
    <row r="281">
      <c r="A281" s="2" t="inlineStr">
        <is>
          <t>S3_sol_div</t>
        </is>
      </c>
      <c r="B281" s="2" t="inlineStr">
        <is>
          <t>S3 — dividendes nets annuels pendant la transition</t>
        </is>
      </c>
      <c r="C281" s="6" t="n">
        <v>0</v>
      </c>
      <c r="D281" s="6" t="n">
        <v>0</v>
      </c>
      <c r="E281" s="6" t="n">
        <v>0</v>
      </c>
      <c r="F281" s="2" t="inlineStr">
        <is>
          <t>€/an</t>
        </is>
      </c>
      <c r="G281" s="7" t="inlineStr">
        <is>
          <t>HYPOTHÈSE</t>
        </is>
      </c>
      <c r="H281" s="2" t="inlineStr"/>
      <c r="I281" s="8" t="inlineStr"/>
      <c r="J281" s="2" t="inlineStr">
        <is>
          <t>Projection — moteur extérieur et options</t>
        </is>
      </c>
    </row>
    <row r="282">
      <c r="A282" s="2" t="inlineStr">
        <is>
          <t>S3_sol_div_annees</t>
        </is>
      </c>
      <c r="B282" s="2" t="inlineStr">
        <is>
          <t>S3 — durée de la transition</t>
        </is>
      </c>
      <c r="C282" s="14" t="n">
        <v>0</v>
      </c>
      <c r="D282" s="14" t="n">
        <v>0</v>
      </c>
      <c r="E282" s="14" t="n">
        <v>0</v>
      </c>
      <c r="F282" s="2" t="inlineStr">
        <is>
          <t>années</t>
        </is>
      </c>
      <c r="G282" s="7" t="inlineStr">
        <is>
          <t>HYPOTHÈSE</t>
        </is>
      </c>
      <c r="H282" s="2" t="inlineStr"/>
      <c r="I282" s="8" t="inlineStr"/>
      <c r="J282" s="2" t="inlineStr">
        <is>
          <t>Projection — moteur extérieur et options</t>
        </is>
      </c>
    </row>
    <row r="283">
      <c r="A283" s="2" t="inlineStr">
        <is>
          <t>S3_sol_dotation0</t>
        </is>
      </c>
      <c r="B283" s="2" t="inlineStr">
        <is>
          <t>S3 — dotation affectée disponible à l'année 1</t>
        </is>
      </c>
      <c r="C283" s="6" t="n">
        <v>180000000</v>
      </c>
      <c r="D283" s="6" t="n">
        <v>180000000</v>
      </c>
      <c r="E283" s="6" t="n">
        <v>180000000</v>
      </c>
      <c r="F283" s="2" t="inlineStr">
        <is>
          <t>€</t>
        </is>
      </c>
      <c r="G283" s="7" t="inlineStr">
        <is>
          <t>HYPOTHÈSE</t>
        </is>
      </c>
      <c r="H283" s="2" t="inlineStr"/>
      <c r="I283" s="8" t="inlineStr"/>
      <c r="J283" s="2" t="inlineStr">
        <is>
          <t>Projection — moteur extérieur et options</t>
        </is>
      </c>
    </row>
    <row r="284">
      <c r="A284" s="2" t="inlineStr">
        <is>
          <t>S3_sol_reserve0</t>
        </is>
      </c>
      <c r="B284" s="2" t="inlineStr">
        <is>
          <t>S3 — réserve de trésorerie initiale (≈ 1 an de besoin)</t>
        </is>
      </c>
      <c r="C284" s="6" t="n">
        <v>3500000</v>
      </c>
      <c r="D284" s="6" t="n">
        <v>3500000</v>
      </c>
      <c r="E284" s="6" t="n">
        <v>3500000</v>
      </c>
      <c r="F284" s="2" t="inlineStr">
        <is>
          <t>€</t>
        </is>
      </c>
      <c r="G284" s="7" t="inlineStr">
        <is>
          <t>HYPOTHÈSE</t>
        </is>
      </c>
      <c r="H284" s="2" t="inlineStr"/>
      <c r="I284" s="8" t="inlineStr"/>
      <c r="J284" s="2" t="inlineStr">
        <is>
          <t>Projection — moteur extérieur et options</t>
        </is>
      </c>
    </row>
    <row r="285">
      <c r="A285" s="2" t="inlineStr">
        <is>
          <t>dette_active</t>
        </is>
      </c>
      <c r="B285" s="2" t="inlineStr">
        <is>
          <t>Option dette d'acquisition (1 = oui)</t>
        </is>
      </c>
      <c r="C285" s="14" t="n">
        <v>0</v>
      </c>
      <c r="D285" s="14" t="n">
        <v>0</v>
      </c>
      <c r="E285" s="14" t="n">
        <v>0</v>
      </c>
      <c r="F285" s="2" t="inlineStr">
        <is>
          <t>0/1</t>
        </is>
      </c>
      <c r="G285" s="7" t="inlineStr">
        <is>
          <t>HYPOTHÈSE</t>
        </is>
      </c>
      <c r="H285" s="2" t="inlineStr"/>
      <c r="I285" s="8" t="inlineStr"/>
      <c r="J285" s="2" t="inlineStr">
        <is>
          <t>Projection — moteur extérieur et options</t>
        </is>
      </c>
    </row>
    <row r="286">
      <c r="A286" s="2" t="inlineStr">
        <is>
          <t>flex_report</t>
        </is>
      </c>
      <c r="B286" s="2" t="inlineStr">
        <is>
          <t>Pilotage : part de la campagne de gros entretien reportée</t>
        </is>
      </c>
      <c r="C286" s="9" t="n">
        <v>0.3</v>
      </c>
      <c r="D286" s="9" t="n">
        <v>0.3</v>
      </c>
      <c r="E286" s="9" t="n">
        <v>0.3</v>
      </c>
      <c r="F286" s="2" t="inlineStr">
        <is>
          <t>%</t>
        </is>
      </c>
      <c r="G286" s="7" t="inlineStr">
        <is>
          <t>HYPOTHÈSE</t>
        </is>
      </c>
      <c r="H286" s="2" t="inlineStr"/>
      <c r="I286" s="8" t="inlineStr">
        <is>
          <t>Le report est remis dans le fonds de travaux : il ne disparaît pas.</t>
        </is>
      </c>
      <c r="J286" s="2" t="inlineStr">
        <is>
          <t>Projection — moteur extérieur et options</t>
        </is>
      </c>
    </row>
    <row r="287">
      <c r="A287" s="2" t="inlineStr">
        <is>
          <t>flex_seuil</t>
        </is>
      </c>
      <c r="B287" s="2" t="inlineStr">
        <is>
          <t>Pilotage : seuil de déclenchement (réserve en années de besoin)</t>
        </is>
      </c>
      <c r="C287" s="14" t="n">
        <v>1</v>
      </c>
      <c r="D287" s="14" t="n">
        <v>1</v>
      </c>
      <c r="E287" s="14" t="n">
        <v>1</v>
      </c>
      <c r="F287" s="2" t="inlineStr">
        <is>
          <t>années</t>
        </is>
      </c>
      <c r="G287" s="7" t="inlineStr">
        <is>
          <t>HYPOTHÈSE</t>
        </is>
      </c>
      <c r="H287" s="2" t="inlineStr"/>
      <c r="I287" s="8" t="inlineStr"/>
      <c r="J287" s="2" t="inlineStr">
        <is>
          <t>Projection — moteur extérieur et options</t>
        </is>
      </c>
    </row>
    <row r="288">
      <c r="A288" s="2" t="inlineStr">
        <is>
          <t>flex_taux</t>
        </is>
      </c>
      <c r="B288" s="2" t="inlineStr">
        <is>
          <t>Pilotage : coupe temporaire des dépenses discrétionnaires (en % du besoin)</t>
        </is>
      </c>
      <c r="C288" s="9" t="n">
        <v>0.1</v>
      </c>
      <c r="D288" s="9" t="n">
        <v>0.1</v>
      </c>
      <c r="E288" s="9" t="n">
        <v>0.1</v>
      </c>
      <c r="F288" s="2" t="inlineStr">
        <is>
          <t>%</t>
        </is>
      </c>
      <c r="G288" s="7" t="inlineStr">
        <is>
          <t>HYPOTHÈSE</t>
        </is>
      </c>
      <c r="H288" s="2" t="inlineStr"/>
      <c r="I288" s="8" t="inlineStr">
        <is>
          <t>Investissements futurs (4 %), imprévus d'exploitation (3 %) et report d'achats de matériel et de jardins (≈ 3 %).</t>
        </is>
      </c>
      <c r="J288" s="2" t="inlineStr">
        <is>
          <t>Projection — moteur extérieur et options</t>
        </is>
      </c>
    </row>
    <row r="289">
      <c r="A289" s="2" t="inlineStr">
        <is>
          <t>lissage_depense</t>
        </is>
      </c>
      <c r="B289" s="2" t="inlineStr">
        <is>
          <t>Règle de dépense lissée : poids du plafond de l'année précédente</t>
        </is>
      </c>
      <c r="C289" s="9" t="n">
        <v>0.8</v>
      </c>
      <c r="D289" s="9" t="n">
        <v>0.8</v>
      </c>
      <c r="E289" s="9" t="n">
        <v>0.8</v>
      </c>
      <c r="F289" s="2" t="inlineStr">
        <is>
          <t>%</t>
        </is>
      </c>
      <c r="G289" s="7" t="inlineStr">
        <is>
          <t>HYPOTHÈSE</t>
        </is>
      </c>
      <c r="H289" s="2" t="inlineStr">
        <is>
          <t>R8-34</t>
        </is>
      </c>
      <c r="I289" s="8" t="inlineStr">
        <is>
          <t>Plafond(t) = 80 % × plafond(t−1) + 20 % × taux × dotation(t−1). Lisse les chocs de marché, sur le modèle des règles de dépense des grands fonds de dotation (cités par R8, sans détail de la règle).</t>
        </is>
      </c>
      <c r="J289" s="2" t="inlineStr">
        <is>
          <t>Projection — moteur extérieur et options</t>
        </is>
      </c>
    </row>
    <row r="290">
      <c r="A290" s="2" t="inlineStr">
        <is>
          <t>mh_actif</t>
        </is>
      </c>
      <c r="B290" s="2" t="inlineStr">
        <is>
          <t>Option avantage fiscal MH (1 = oui, suppose des revenus imposables au barème)</t>
        </is>
      </c>
      <c r="C290" s="14" t="n">
        <v>0</v>
      </c>
      <c r="D290" s="14" t="n">
        <v>0</v>
      </c>
      <c r="E290" s="14" t="n">
        <v>0</v>
      </c>
      <c r="F290" s="2" t="inlineStr">
        <is>
          <t>0/1</t>
        </is>
      </c>
      <c r="G290" s="7" t="inlineStr">
        <is>
          <t>HYPOTHÈSE</t>
        </is>
      </c>
      <c r="H290" s="2" t="inlineStr"/>
      <c r="I290" s="8" t="inlineStr">
        <is>
          <t>Désactivée par défaut : l'avantage réduit l'impôt personnel du propriétaire et suppose qu'il ait des revenus imposables au barème (R3).</t>
        </is>
      </c>
      <c r="J290" s="2" t="inlineStr">
        <is>
          <t>Projection — moteur extérieur et options</t>
        </is>
      </c>
    </row>
    <row r="291">
      <c r="A291" s="2" t="inlineStr">
        <is>
          <t>pilotage_actif</t>
        </is>
      </c>
      <c r="B291" s="2" t="inlineStr">
        <is>
          <t>Règles de pilotage en période de tension (1 = oui)</t>
        </is>
      </c>
      <c r="C291" s="14" t="n">
        <v>1</v>
      </c>
      <c r="D291" s="14" t="n">
        <v>1</v>
      </c>
      <c r="E291" s="14" t="n">
        <v>1</v>
      </c>
      <c r="F291" s="2" t="inlineStr">
        <is>
          <t>0/1</t>
        </is>
      </c>
      <c r="G291" s="7" t="inlineStr">
        <is>
          <t>HYPOTHÈSE</t>
        </is>
      </c>
      <c r="H291" s="2" t="inlineStr"/>
      <c r="I291" s="8" t="inlineStr">
        <is>
          <t>Si la réserve passe sous `flex_seuil` année(s) de besoin : coupe des dépenses discrétionnaires, report d'une partie de la campagne de travaux, retrait d'urgence plafonné.</t>
        </is>
      </c>
      <c r="J291" s="2" t="inlineStr">
        <is>
          <t>Projection — moteur extérieur et options</t>
        </is>
      </c>
    </row>
    <row r="292">
      <c r="A292" s="2" t="inlineStr">
        <is>
          <t>retrait_urgence</t>
        </is>
      </c>
      <c r="B292" s="2" t="inlineStr">
        <is>
          <t>Pilotage : retrait d'urgence maximal sur la dotation (en % du capital)</t>
        </is>
      </c>
      <c r="C292" s="9" t="n">
        <v>0.04</v>
      </c>
      <c r="D292" s="9" t="n">
        <v>0.04</v>
      </c>
      <c r="E292" s="9" t="n">
        <v>0.04</v>
      </c>
      <c r="F292" s="2" t="inlineStr">
        <is>
          <t>%</t>
        </is>
      </c>
      <c r="G292" s="7" t="inlineStr">
        <is>
          <t>HYPOTHÈSE</t>
        </is>
      </c>
      <c r="H292" s="2" t="inlineStr"/>
      <c r="I292" s="8" t="inlineStr"/>
      <c r="J292" s="2" t="inlineStr">
        <is>
          <t>Projection — moteur extérieur et options</t>
        </is>
      </c>
    </row>
    <row r="293">
      <c r="A293" s="2" t="inlineStr">
        <is>
          <t>sub_actif</t>
        </is>
      </c>
      <c r="B293" s="2" t="inlineStr">
        <is>
          <t>Option subventions de travaux (1 = oui ; jamais dans le scénario central)</t>
        </is>
      </c>
      <c r="C293" s="14" t="n">
        <v>0</v>
      </c>
      <c r="D293" s="14" t="n">
        <v>0</v>
      </c>
      <c r="E293" s="14" t="n">
        <v>0</v>
      </c>
      <c r="F293" s="2" t="inlineStr">
        <is>
          <t>0/1</t>
        </is>
      </c>
      <c r="G293" s="7" t="inlineStr">
        <is>
          <t>HYPOTHÈSE</t>
        </is>
      </c>
      <c r="H293" s="2" t="inlineStr"/>
      <c r="I293" s="8" t="inlineStr"/>
      <c r="J293" s="2" t="inlineStr">
        <is>
          <t>Projection — moteur extérieur et options</t>
        </is>
      </c>
    </row>
    <row r="294">
      <c r="A294" s="5" t="inlineStr">
        <is>
          <t>— Projection — échelle des activités par scénario —</t>
        </is>
      </c>
    </row>
    <row r="295">
      <c r="A295" s="2" t="inlineStr">
        <is>
          <t>S1_ech_bois</t>
        </is>
      </c>
      <c r="B295" s="2" t="inlineStr">
        <is>
          <t>S1 — facteur d'échelle du moteur bois (par rapport à S2)</t>
        </is>
      </c>
      <c r="C295" s="14" t="n">
        <v>0.4</v>
      </c>
      <c r="D295" s="14" t="n">
        <v>0.4</v>
      </c>
      <c r="E295" s="14" t="n">
        <v>0.4</v>
      </c>
      <c r="F295" s="2" t="inlineStr">
        <is>
          <t>coefficient</t>
        </is>
      </c>
      <c r="G295" s="7" t="inlineStr">
        <is>
          <t>HYPOTHÈSE</t>
        </is>
      </c>
      <c r="H295" s="2" t="inlineStr"/>
      <c r="I295" s="8" t="inlineStr">
        <is>
          <t>S1 : 8 boxes en pension (12 − 4 chevaux du propriétaire), 10 chevaux au pré, une maison de 150 m², pas de grange disponible pour le stockage, 2 ha de solaire au mieux, 12 ha de bois.</t>
        </is>
      </c>
      <c r="J295" s="2" t="inlineStr">
        <is>
          <t>Projection — échelle des activités par scénario</t>
        </is>
      </c>
    </row>
    <row r="296">
      <c r="A296" s="2" t="inlineStr">
        <is>
          <t>S1_ech_eq_ret</t>
        </is>
      </c>
      <c r="B296" s="2" t="inlineStr">
        <is>
          <t>S1 — facteur d'échelle du moteur eq_ret (par rapport à S2)</t>
        </is>
      </c>
      <c r="C296" s="14" t="n">
        <v>0.333</v>
      </c>
      <c r="D296" s="14" t="n">
        <v>0.333</v>
      </c>
      <c r="E296" s="14" t="n">
        <v>0.333</v>
      </c>
      <c r="F296" s="2" t="inlineStr">
        <is>
          <t>coefficient</t>
        </is>
      </c>
      <c r="G296" s="7" t="inlineStr">
        <is>
          <t>HYPOTHÈSE</t>
        </is>
      </c>
      <c r="H296" s="2" t="inlineStr"/>
      <c r="I296" s="8" t="inlineStr">
        <is>
          <t>S1 : 8 boxes en pension (12 − 4 chevaux du propriétaire), 10 chevaux au pré, une maison de 150 m², pas de grange disponible pour le stockage, 2 ha de solaire au mieux, 12 ha de bois.</t>
        </is>
      </c>
      <c r="J296" s="2" t="inlineStr">
        <is>
          <t>Projection — échelle des activités par scénario</t>
        </is>
      </c>
    </row>
    <row r="297">
      <c r="A297" s="2" t="inlineStr">
        <is>
          <t>S1_ech_eq_std</t>
        </is>
      </c>
      <c r="B297" s="2" t="inlineStr">
        <is>
          <t>S1 — facteur d'échelle du moteur eq_std (par rapport à S2)</t>
        </is>
      </c>
      <c r="C297" s="14" t="n">
        <v>0.267</v>
      </c>
      <c r="D297" s="14" t="n">
        <v>0.267</v>
      </c>
      <c r="E297" s="14" t="n">
        <v>0.267</v>
      </c>
      <c r="F297" s="2" t="inlineStr">
        <is>
          <t>coefficient</t>
        </is>
      </c>
      <c r="G297" s="7" t="inlineStr">
        <is>
          <t>HYPOTHÈSE</t>
        </is>
      </c>
      <c r="H297" s="2" t="inlineStr"/>
      <c r="I297" s="8" t="inlineStr">
        <is>
          <t>S1 : 8 boxes en pension (12 − 4 chevaux du propriétaire), 10 chevaux au pré, une maison de 150 m², pas de grange disponible pour le stockage, 2 ha de solaire au mieux, 12 ha de bois.</t>
        </is>
      </c>
      <c r="J297" s="2" t="inlineStr">
        <is>
          <t>Projection — échelle des activités par scénario</t>
        </is>
      </c>
    </row>
    <row r="298">
      <c r="A298" s="2" t="inlineStr">
        <is>
          <t>S1_ech_log</t>
        </is>
      </c>
      <c r="B298" s="2" t="inlineStr">
        <is>
          <t>S1 — facteur d'échelle du moteur log (par rapport à S2)</t>
        </is>
      </c>
      <c r="C298" s="14" t="n">
        <v>0.25</v>
      </c>
      <c r="D298" s="14" t="n">
        <v>0.25</v>
      </c>
      <c r="E298" s="14" t="n">
        <v>0.25</v>
      </c>
      <c r="F298" s="2" t="inlineStr">
        <is>
          <t>coefficient</t>
        </is>
      </c>
      <c r="G298" s="7" t="inlineStr">
        <is>
          <t>HYPOTHÈSE</t>
        </is>
      </c>
      <c r="H298" s="2" t="inlineStr"/>
      <c r="I298" s="8" t="inlineStr">
        <is>
          <t>S1 : 8 boxes en pension (12 − 4 chevaux du propriétaire), 10 chevaux au pré, une maison de 150 m², pas de grange disponible pour le stockage, 2 ha de solaire au mieux, 12 ha de bois.</t>
        </is>
      </c>
      <c r="J298" s="2" t="inlineStr">
        <is>
          <t>Projection — échelle des activités par scénario</t>
        </is>
      </c>
    </row>
    <row r="299">
      <c r="A299" s="2" t="inlineStr">
        <is>
          <t>S1_ech_pv</t>
        </is>
      </c>
      <c r="B299" s="2" t="inlineStr">
        <is>
          <t>S1 — facteur d'échelle du moteur pv (par rapport à S2)</t>
        </is>
      </c>
      <c r="C299" s="14" t="n">
        <v>0.4</v>
      </c>
      <c r="D299" s="14" t="n">
        <v>0.4</v>
      </c>
      <c r="E299" s="14" t="n">
        <v>0.4</v>
      </c>
      <c r="F299" s="2" t="inlineStr">
        <is>
          <t>coefficient</t>
        </is>
      </c>
      <c r="G299" s="7" t="inlineStr">
        <is>
          <t>HYPOTHÈSE</t>
        </is>
      </c>
      <c r="H299" s="2" t="inlineStr"/>
      <c r="I299" s="8" t="inlineStr">
        <is>
          <t>S1 : 8 boxes en pension (12 − 4 chevaux du propriétaire), 10 chevaux au pré, une maison de 150 m², pas de grange disponible pour le stockage, 2 ha de solaire au mieux, 12 ha de bois.</t>
        </is>
      </c>
      <c r="J299" s="2" t="inlineStr">
        <is>
          <t>Projection — échelle des activités par scénario</t>
        </is>
      </c>
    </row>
    <row r="300">
      <c r="A300" s="2" t="inlineStr">
        <is>
          <t>S1_ech_stock</t>
        </is>
      </c>
      <c r="B300" s="2" t="inlineStr">
        <is>
          <t>S1 — facteur d'échelle du moteur stock (par rapport à S2)</t>
        </is>
      </c>
      <c r="C300" s="14" t="n">
        <v>0</v>
      </c>
      <c r="D300" s="14" t="n">
        <v>0</v>
      </c>
      <c r="E300" s="14" t="n">
        <v>0</v>
      </c>
      <c r="F300" s="2" t="inlineStr">
        <is>
          <t>coefficient</t>
        </is>
      </c>
      <c r="G300" s="7" t="inlineStr">
        <is>
          <t>HYPOTHÈSE</t>
        </is>
      </c>
      <c r="H300" s="2" t="inlineStr"/>
      <c r="I300" s="8" t="inlineStr">
        <is>
          <t>S1 : 8 boxes en pension (12 − 4 chevaux du propriétaire), 10 chevaux au pré, une maison de 150 m², pas de grange disponible pour le stockage, 2 ha de solaire au mieux, 12 ha de bois.</t>
        </is>
      </c>
      <c r="J300" s="2" t="inlineStr">
        <is>
          <t>Projection — échelle des activités par scénario</t>
        </is>
      </c>
    </row>
    <row r="301">
      <c r="A301" s="2" t="inlineStr">
        <is>
          <t>S1_ech_tourn</t>
        </is>
      </c>
      <c r="B301" s="2" t="inlineStr">
        <is>
          <t>S1 — facteur d'échelle du moteur tourn (par rapport à S2)</t>
        </is>
      </c>
      <c r="C301" s="14" t="n">
        <v>0.5</v>
      </c>
      <c r="D301" s="14" t="n">
        <v>0.5</v>
      </c>
      <c r="E301" s="14" t="n">
        <v>0.5</v>
      </c>
      <c r="F301" s="2" t="inlineStr">
        <is>
          <t>coefficient</t>
        </is>
      </c>
      <c r="G301" s="7" t="inlineStr">
        <is>
          <t>HYPOTHÈSE</t>
        </is>
      </c>
      <c r="H301" s="2" t="inlineStr"/>
      <c r="I301" s="8" t="inlineStr">
        <is>
          <t>S1 : 8 boxes en pension (12 − 4 chevaux du propriétaire), 10 chevaux au pré, une maison de 150 m², pas de grange disponible pour le stockage, 2 ha de solaire au mieux, 12 ha de bois.</t>
        </is>
      </c>
      <c r="J301" s="2" t="inlineStr">
        <is>
          <t>Projection — échelle des activités par scénario</t>
        </is>
      </c>
    </row>
    <row r="302">
      <c r="A302" s="2" t="inlineStr">
        <is>
          <t>S2_ech_bois</t>
        </is>
      </c>
      <c r="B302" s="2" t="inlineStr">
        <is>
          <t>S2 — facteur d'échelle du moteur bois (par rapport à S2)</t>
        </is>
      </c>
      <c r="C302" s="14" t="n">
        <v>1</v>
      </c>
      <c r="D302" s="14" t="n">
        <v>1</v>
      </c>
      <c r="E302" s="14" t="n">
        <v>1</v>
      </c>
      <c r="F302" s="2" t="inlineStr">
        <is>
          <t>coefficient</t>
        </is>
      </c>
      <c r="G302" s="7" t="inlineStr">
        <is>
          <t>HYPOTHÈSE</t>
        </is>
      </c>
      <c r="H302" s="2" t="inlineStr"/>
      <c r="I302" s="8" t="inlineStr">
        <is>
          <t>S2 : échelle de référence de la feuille Moteurs.</t>
        </is>
      </c>
      <c r="J302" s="2" t="inlineStr">
        <is>
          <t>Projection — échelle des activités par scénario</t>
        </is>
      </c>
    </row>
    <row r="303">
      <c r="A303" s="2" t="inlineStr">
        <is>
          <t>S2_ech_eq_ret</t>
        </is>
      </c>
      <c r="B303" s="2" t="inlineStr">
        <is>
          <t>S2 — facteur d'échelle du moteur eq_ret (par rapport à S2)</t>
        </is>
      </c>
      <c r="C303" s="14" t="n">
        <v>1</v>
      </c>
      <c r="D303" s="14" t="n">
        <v>1</v>
      </c>
      <c r="E303" s="14" t="n">
        <v>1</v>
      </c>
      <c r="F303" s="2" t="inlineStr">
        <is>
          <t>coefficient</t>
        </is>
      </c>
      <c r="G303" s="7" t="inlineStr">
        <is>
          <t>HYPOTHÈSE</t>
        </is>
      </c>
      <c r="H303" s="2" t="inlineStr"/>
      <c r="I303" s="8" t="inlineStr">
        <is>
          <t>S2 : échelle de référence de la feuille Moteurs.</t>
        </is>
      </c>
      <c r="J303" s="2" t="inlineStr">
        <is>
          <t>Projection — échelle des activités par scénario</t>
        </is>
      </c>
    </row>
    <row r="304">
      <c r="A304" s="2" t="inlineStr">
        <is>
          <t>S2_ech_eq_std</t>
        </is>
      </c>
      <c r="B304" s="2" t="inlineStr">
        <is>
          <t>S2 — facteur d'échelle du moteur eq_std (par rapport à S2)</t>
        </is>
      </c>
      <c r="C304" s="14" t="n">
        <v>1</v>
      </c>
      <c r="D304" s="14" t="n">
        <v>1</v>
      </c>
      <c r="E304" s="14" t="n">
        <v>1</v>
      </c>
      <c r="F304" s="2" t="inlineStr">
        <is>
          <t>coefficient</t>
        </is>
      </c>
      <c r="G304" s="7" t="inlineStr">
        <is>
          <t>HYPOTHÈSE</t>
        </is>
      </c>
      <c r="H304" s="2" t="inlineStr"/>
      <c r="I304" s="8" t="inlineStr">
        <is>
          <t>S2 : échelle de référence de la feuille Moteurs.</t>
        </is>
      </c>
      <c r="J304" s="2" t="inlineStr">
        <is>
          <t>Projection — échelle des activités par scénario</t>
        </is>
      </c>
    </row>
    <row r="305">
      <c r="A305" s="2" t="inlineStr">
        <is>
          <t>S2_ech_log</t>
        </is>
      </c>
      <c r="B305" s="2" t="inlineStr">
        <is>
          <t>S2 — facteur d'échelle du moteur log (par rapport à S2)</t>
        </is>
      </c>
      <c r="C305" s="14" t="n">
        <v>1</v>
      </c>
      <c r="D305" s="14" t="n">
        <v>1</v>
      </c>
      <c r="E305" s="14" t="n">
        <v>1</v>
      </c>
      <c r="F305" s="2" t="inlineStr">
        <is>
          <t>coefficient</t>
        </is>
      </c>
      <c r="G305" s="7" t="inlineStr">
        <is>
          <t>HYPOTHÈSE</t>
        </is>
      </c>
      <c r="H305" s="2" t="inlineStr"/>
      <c r="I305" s="8" t="inlineStr">
        <is>
          <t>S2 : échelle de référence de la feuille Moteurs.</t>
        </is>
      </c>
      <c r="J305" s="2" t="inlineStr">
        <is>
          <t>Projection — échelle des activités par scénario</t>
        </is>
      </c>
    </row>
    <row r="306">
      <c r="A306" s="2" t="inlineStr">
        <is>
          <t>S2_ech_pv</t>
        </is>
      </c>
      <c r="B306" s="2" t="inlineStr">
        <is>
          <t>S2 — facteur d'échelle du moteur pv (par rapport à S2)</t>
        </is>
      </c>
      <c r="C306" s="14" t="n">
        <v>1</v>
      </c>
      <c r="D306" s="14" t="n">
        <v>1</v>
      </c>
      <c r="E306" s="14" t="n">
        <v>1</v>
      </c>
      <c r="F306" s="2" t="inlineStr">
        <is>
          <t>coefficient</t>
        </is>
      </c>
      <c r="G306" s="7" t="inlineStr">
        <is>
          <t>HYPOTHÈSE</t>
        </is>
      </c>
      <c r="H306" s="2" t="inlineStr"/>
      <c r="I306" s="8" t="inlineStr">
        <is>
          <t>S2 : échelle de référence de la feuille Moteurs.</t>
        </is>
      </c>
      <c r="J306" s="2" t="inlineStr">
        <is>
          <t>Projection — échelle des activités par scénario</t>
        </is>
      </c>
    </row>
    <row r="307">
      <c r="A307" s="2" t="inlineStr">
        <is>
          <t>S2_ech_stock</t>
        </is>
      </c>
      <c r="B307" s="2" t="inlineStr">
        <is>
          <t>S2 — facteur d'échelle du moteur stock (par rapport à S2)</t>
        </is>
      </c>
      <c r="C307" s="14" t="n">
        <v>1</v>
      </c>
      <c r="D307" s="14" t="n">
        <v>1</v>
      </c>
      <c r="E307" s="14" t="n">
        <v>1</v>
      </c>
      <c r="F307" s="2" t="inlineStr">
        <is>
          <t>coefficient</t>
        </is>
      </c>
      <c r="G307" s="7" t="inlineStr">
        <is>
          <t>HYPOTHÈSE</t>
        </is>
      </c>
      <c r="H307" s="2" t="inlineStr"/>
      <c r="I307" s="8" t="inlineStr">
        <is>
          <t>S2 : échelle de référence de la feuille Moteurs.</t>
        </is>
      </c>
      <c r="J307" s="2" t="inlineStr">
        <is>
          <t>Projection — échelle des activités par scénario</t>
        </is>
      </c>
    </row>
    <row r="308">
      <c r="A308" s="2" t="inlineStr">
        <is>
          <t>S2_ech_tourn</t>
        </is>
      </c>
      <c r="B308" s="2" t="inlineStr">
        <is>
          <t>S2 — facteur d'échelle du moteur tourn (par rapport à S2)</t>
        </is>
      </c>
      <c r="C308" s="14" t="n">
        <v>1</v>
      </c>
      <c r="D308" s="14" t="n">
        <v>1</v>
      </c>
      <c r="E308" s="14" t="n">
        <v>1</v>
      </c>
      <c r="F308" s="2" t="inlineStr">
        <is>
          <t>coefficient</t>
        </is>
      </c>
      <c r="G308" s="7" t="inlineStr">
        <is>
          <t>HYPOTHÈSE</t>
        </is>
      </c>
      <c r="H308" s="2" t="inlineStr"/>
      <c r="I308" s="8" t="inlineStr">
        <is>
          <t>S2 : échelle de référence de la feuille Moteurs.</t>
        </is>
      </c>
      <c r="J308" s="2" t="inlineStr">
        <is>
          <t>Projection — échelle des activités par scénario</t>
        </is>
      </c>
    </row>
    <row r="309">
      <c r="A309" s="2" t="inlineStr">
        <is>
          <t>S3_ech_bois</t>
        </is>
      </c>
      <c r="B309" s="2" t="inlineStr">
        <is>
          <t>S3 — facteur d'échelle du moteur bois (par rapport à S2)</t>
        </is>
      </c>
      <c r="C309" s="14" t="n">
        <v>4</v>
      </c>
      <c r="D309" s="14" t="n">
        <v>4</v>
      </c>
      <c r="E309" s="14" t="n">
        <v>4</v>
      </c>
      <c r="F309" s="2" t="inlineStr">
        <is>
          <t>coefficient</t>
        </is>
      </c>
      <c r="G309" s="7" t="inlineStr">
        <is>
          <t>HYPOTHÈSE</t>
        </is>
      </c>
      <c r="H309" s="2" t="inlineStr"/>
      <c r="I309" s="8" t="inlineStr">
        <is>
          <t>S3 : 38 boxes en pension, 40 chevaux au pré, 1 200 m² de logements, 10 ha de solaire, 120 ha de bois.</t>
        </is>
      </c>
      <c r="J309" s="2" t="inlineStr">
        <is>
          <t>Projection — échelle des activités par scénario</t>
        </is>
      </c>
    </row>
    <row r="310">
      <c r="A310" s="2" t="inlineStr">
        <is>
          <t>S3_ech_eq_ret</t>
        </is>
      </c>
      <c r="B310" s="2" t="inlineStr">
        <is>
          <t>S3 — facteur d'échelle du moteur eq_ret (par rapport à S2)</t>
        </is>
      </c>
      <c r="C310" s="14" t="n">
        <v>1.333</v>
      </c>
      <c r="D310" s="14" t="n">
        <v>1.333</v>
      </c>
      <c r="E310" s="14" t="n">
        <v>1.333</v>
      </c>
      <c r="F310" s="2" t="inlineStr">
        <is>
          <t>coefficient</t>
        </is>
      </c>
      <c r="G310" s="7" t="inlineStr">
        <is>
          <t>HYPOTHÈSE</t>
        </is>
      </c>
      <c r="H310" s="2" t="inlineStr"/>
      <c r="I310" s="8" t="inlineStr">
        <is>
          <t>S3 : 38 boxes en pension, 40 chevaux au pré, 1 200 m² de logements, 10 ha de solaire, 120 ha de bois.</t>
        </is>
      </c>
      <c r="J310" s="2" t="inlineStr">
        <is>
          <t>Projection — échelle des activités par scénario</t>
        </is>
      </c>
    </row>
    <row r="311">
      <c r="A311" s="2" t="inlineStr">
        <is>
          <t>S3_ech_eq_std</t>
        </is>
      </c>
      <c r="B311" s="2" t="inlineStr">
        <is>
          <t>S3 — facteur d'échelle du moteur eq_std (par rapport à S2)</t>
        </is>
      </c>
      <c r="C311" s="14" t="n">
        <v>1.267</v>
      </c>
      <c r="D311" s="14" t="n">
        <v>1.267</v>
      </c>
      <c r="E311" s="14" t="n">
        <v>1.267</v>
      </c>
      <c r="F311" s="2" t="inlineStr">
        <is>
          <t>coefficient</t>
        </is>
      </c>
      <c r="G311" s="7" t="inlineStr">
        <is>
          <t>HYPOTHÈSE</t>
        </is>
      </c>
      <c r="H311" s="2" t="inlineStr"/>
      <c r="I311" s="8" t="inlineStr">
        <is>
          <t>S3 : 38 boxes en pension, 40 chevaux au pré, 1 200 m² de logements, 10 ha de solaire, 120 ha de bois.</t>
        </is>
      </c>
      <c r="J311" s="2" t="inlineStr">
        <is>
          <t>Projection — échelle des activités par scénario</t>
        </is>
      </c>
    </row>
    <row r="312">
      <c r="A312" s="2" t="inlineStr">
        <is>
          <t>S3_ech_log</t>
        </is>
      </c>
      <c r="B312" s="2" t="inlineStr">
        <is>
          <t>S3 — facteur d'échelle du moteur log (par rapport à S2)</t>
        </is>
      </c>
      <c r="C312" s="14" t="n">
        <v>2</v>
      </c>
      <c r="D312" s="14" t="n">
        <v>2</v>
      </c>
      <c r="E312" s="14" t="n">
        <v>2</v>
      </c>
      <c r="F312" s="2" t="inlineStr">
        <is>
          <t>coefficient</t>
        </is>
      </c>
      <c r="G312" s="7" t="inlineStr">
        <is>
          <t>HYPOTHÈSE</t>
        </is>
      </c>
      <c r="H312" s="2" t="inlineStr"/>
      <c r="I312" s="8" t="inlineStr">
        <is>
          <t>S3 : 38 boxes en pension, 40 chevaux au pré, 1 200 m² de logements, 10 ha de solaire, 120 ha de bois.</t>
        </is>
      </c>
      <c r="J312" s="2" t="inlineStr">
        <is>
          <t>Projection — échelle des activités par scénario</t>
        </is>
      </c>
    </row>
    <row r="313">
      <c r="A313" s="2" t="inlineStr">
        <is>
          <t>S3_ech_pv</t>
        </is>
      </c>
      <c r="B313" s="2" t="inlineStr">
        <is>
          <t>S3 — facteur d'échelle du moteur pv (par rapport à S2)</t>
        </is>
      </c>
      <c r="C313" s="14" t="n">
        <v>2</v>
      </c>
      <c r="D313" s="14" t="n">
        <v>2</v>
      </c>
      <c r="E313" s="14" t="n">
        <v>2</v>
      </c>
      <c r="F313" s="2" t="inlineStr">
        <is>
          <t>coefficient</t>
        </is>
      </c>
      <c r="G313" s="7" t="inlineStr">
        <is>
          <t>HYPOTHÈSE</t>
        </is>
      </c>
      <c r="H313" s="2" t="inlineStr"/>
      <c r="I313" s="8" t="inlineStr">
        <is>
          <t>S3 : 38 boxes en pension, 40 chevaux au pré, 1 200 m² de logements, 10 ha de solaire, 120 ha de bois.</t>
        </is>
      </c>
      <c r="J313" s="2" t="inlineStr">
        <is>
          <t>Projection — échelle des activités par scénario</t>
        </is>
      </c>
    </row>
    <row r="314">
      <c r="A314" s="2" t="inlineStr">
        <is>
          <t>S3_ech_stock</t>
        </is>
      </c>
      <c r="B314" s="2" t="inlineStr">
        <is>
          <t>S3 — facteur d'échelle du moteur stock (par rapport à S2)</t>
        </is>
      </c>
      <c r="C314" s="14" t="n">
        <v>1</v>
      </c>
      <c r="D314" s="14" t="n">
        <v>1</v>
      </c>
      <c r="E314" s="14" t="n">
        <v>1</v>
      </c>
      <c r="F314" s="2" t="inlineStr">
        <is>
          <t>coefficient</t>
        </is>
      </c>
      <c r="G314" s="7" t="inlineStr">
        <is>
          <t>HYPOTHÈSE</t>
        </is>
      </c>
      <c r="H314" s="2" t="inlineStr"/>
      <c r="I314" s="8" t="inlineStr">
        <is>
          <t>S3 : 38 boxes en pension, 40 chevaux au pré, 1 200 m² de logements, 10 ha de solaire, 120 ha de bois.</t>
        </is>
      </c>
      <c r="J314" s="2" t="inlineStr">
        <is>
          <t>Projection — échelle des activités par scénario</t>
        </is>
      </c>
    </row>
    <row r="315">
      <c r="A315" s="2" t="inlineStr">
        <is>
          <t>S3_ech_tourn</t>
        </is>
      </c>
      <c r="B315" s="2" t="inlineStr">
        <is>
          <t>S3 — facteur d'échelle du moteur tourn (par rapport à S2)</t>
        </is>
      </c>
      <c r="C315" s="14" t="n">
        <v>1.5</v>
      </c>
      <c r="D315" s="14" t="n">
        <v>1.5</v>
      </c>
      <c r="E315" s="14" t="n">
        <v>1.5</v>
      </c>
      <c r="F315" s="2" t="inlineStr">
        <is>
          <t>coefficient</t>
        </is>
      </c>
      <c r="G315" s="7" t="inlineStr">
        <is>
          <t>HYPOTHÈSE</t>
        </is>
      </c>
      <c r="H315" s="2" t="inlineStr"/>
      <c r="I315" s="8" t="inlineStr">
        <is>
          <t>S3 : 38 boxes en pension, 40 chevaux au pré, 1 200 m² de logements, 10 ha de solaire, 120 ha de bois.</t>
        </is>
      </c>
      <c r="J315" s="2" t="inlineStr">
        <is>
          <t>Projection — échelle des activités par scénario</t>
        </is>
      </c>
    </row>
    <row r="316">
      <c r="A316" s="5" t="inlineStr">
        <is>
          <t>— Scénario dette —</t>
        </is>
      </c>
    </row>
    <row r="317">
      <c r="A317" s="2" t="inlineStr">
        <is>
          <t>S1_prix_achat</t>
        </is>
      </c>
      <c r="B317" s="2" t="inlineStr">
        <is>
          <t>S1 — prix d'achat</t>
        </is>
      </c>
      <c r="C317" s="6" t="n">
        <v>1200000</v>
      </c>
      <c r="D317" s="6" t="n">
        <v>1200000</v>
      </c>
      <c r="E317" s="6" t="n">
        <v>1200000</v>
      </c>
      <c r="F317" s="2" t="inlineStr">
        <is>
          <t>€</t>
        </is>
      </c>
      <c r="G317" s="7" t="inlineStr">
        <is>
          <t>HYPOTHÈSE</t>
        </is>
      </c>
      <c r="H317" s="2" t="inlineStr">
        <is>
          <t>D-02</t>
        </is>
      </c>
      <c r="I317" s="8" t="inlineStr">
        <is>
          <t>Marché : prix affichés de 920 k€ à 20 M€, prix de vente moyen de 2,415 M€ (Kretz, 2026).</t>
        </is>
      </c>
      <c r="J317" s="2" t="inlineStr">
        <is>
          <t>Scénario dette</t>
        </is>
      </c>
    </row>
    <row r="318">
      <c r="A318" s="2" t="inlineStr">
        <is>
          <t>S2_prix_achat</t>
        </is>
      </c>
      <c r="B318" s="2" t="inlineStr">
        <is>
          <t>S2 — prix d'achat</t>
        </is>
      </c>
      <c r="C318" s="6" t="n">
        <v>3500000</v>
      </c>
      <c r="D318" s="6" t="n">
        <v>3500000</v>
      </c>
      <c r="E318" s="6" t="n">
        <v>3500000</v>
      </c>
      <c r="F318" s="2" t="inlineStr">
        <is>
          <t>€</t>
        </is>
      </c>
      <c r="G318" s="7" t="inlineStr">
        <is>
          <t>HYPOTHÈSE</t>
        </is>
      </c>
      <c r="H318" s="2" t="inlineStr">
        <is>
          <t>D-02</t>
        </is>
      </c>
      <c r="I318" s="8" t="inlineStr"/>
      <c r="J318" s="2" t="inlineStr">
        <is>
          <t>Scénario dette</t>
        </is>
      </c>
    </row>
    <row r="319">
      <c r="A319" s="2" t="inlineStr">
        <is>
          <t>S3_prix_achat</t>
        </is>
      </c>
      <c r="B319" s="2" t="inlineStr">
        <is>
          <t>S3 — prix d'achat</t>
        </is>
      </c>
      <c r="C319" s="6" t="n">
        <v>9000000</v>
      </c>
      <c r="D319" s="6" t="n">
        <v>9000000</v>
      </c>
      <c r="E319" s="6" t="n">
        <v>9000000</v>
      </c>
      <c r="F319" s="2" t="inlineStr">
        <is>
          <t>€</t>
        </is>
      </c>
      <c r="G319" s="7" t="inlineStr">
        <is>
          <t>HYPOTHÈSE</t>
        </is>
      </c>
      <c r="H319" s="2" t="inlineStr">
        <is>
          <t>D-02</t>
        </is>
      </c>
      <c r="I319" s="8" t="inlineStr"/>
      <c r="J319" s="2" t="inlineStr">
        <is>
          <t>Scénario dette</t>
        </is>
      </c>
    </row>
    <row r="320">
      <c r="A320" s="2" t="inlineStr">
        <is>
          <t>dette_duree</t>
        </is>
      </c>
      <c r="B320" s="2" t="inlineStr">
        <is>
          <t>Durée de l'emprunt</t>
        </is>
      </c>
      <c r="C320" s="14" t="n">
        <v>25</v>
      </c>
      <c r="D320" s="14" t="n">
        <v>20</v>
      </c>
      <c r="E320" s="14" t="n">
        <v>15</v>
      </c>
      <c r="F320" s="2" t="inlineStr">
        <is>
          <t>années</t>
        </is>
      </c>
      <c r="G320" s="7" t="inlineStr">
        <is>
          <t>HYPOTHÈSE</t>
        </is>
      </c>
      <c r="H320" s="2" t="inlineStr"/>
      <c r="I320" s="8" t="inlineStr"/>
      <c r="J320" s="2" t="inlineStr">
        <is>
          <t>Scénario dette</t>
        </is>
      </c>
    </row>
    <row r="321">
      <c r="A321" s="2" t="inlineStr">
        <is>
          <t>dette_quotite</t>
        </is>
      </c>
      <c r="B321" s="2" t="inlineStr">
        <is>
          <t>Part du prix financée par emprunt</t>
        </is>
      </c>
      <c r="C321" s="9" t="n">
        <v>0.5</v>
      </c>
      <c r="D321" s="9" t="n">
        <v>0.7</v>
      </c>
      <c r="E321" s="9" t="n">
        <v>0.8</v>
      </c>
      <c r="F321" s="2" t="inlineStr">
        <is>
          <t>%</t>
        </is>
      </c>
      <c r="G321" s="7" t="inlineStr">
        <is>
          <t>HYPOTHÈSE</t>
        </is>
      </c>
      <c r="H321" s="2" t="inlineStr"/>
      <c r="I321" s="8" t="inlineStr"/>
      <c r="J321" s="2" t="inlineStr">
        <is>
          <t>Scénario dette</t>
        </is>
      </c>
    </row>
    <row r="322">
      <c r="A322" s="2" t="inlineStr">
        <is>
          <t>dette_taux</t>
        </is>
      </c>
      <c r="B322" s="2" t="inlineStr">
        <is>
          <t>Taux d'intérêt de l'emprunt</t>
        </is>
      </c>
      <c r="C322" s="9" t="n">
        <v>0.035</v>
      </c>
      <c r="D322" s="9" t="n">
        <v>0.042</v>
      </c>
      <c r="E322" s="9" t="n">
        <v>0.055</v>
      </c>
      <c r="F322" s="2" t="inlineStr">
        <is>
          <t>% par an</t>
        </is>
      </c>
      <c r="G322" s="11" t="inlineStr">
        <is>
          <t>ESTIMATION</t>
        </is>
      </c>
      <c r="H322" s="2" t="inlineStr">
        <is>
          <t>D-05</t>
        </is>
      </c>
      <c r="I322" s="8" t="inlineStr">
        <is>
          <t>Crédits immobiliers aux particuliers : 3,27 % sur 20 ans (août 2026). Prime ajoutée pour un bien atypique ou un emprunteur professionnel.</t>
        </is>
      </c>
      <c r="J322" s="2" t="inlineStr">
        <is>
          <t>Scénario dette</t>
        </is>
      </c>
    </row>
    <row r="323">
      <c r="A323" s="5" t="inlineStr">
        <is>
          <t>— Scénarios — description physique —</t>
        </is>
      </c>
    </row>
    <row r="324">
      <c r="A324" s="2" t="inlineStr">
        <is>
          <t>S1_ha_bois</t>
        </is>
      </c>
      <c r="B324" s="2" t="inlineStr">
        <is>
          <t>S1 — bois</t>
        </is>
      </c>
      <c r="C324" s="14" t="n">
        <v>12</v>
      </c>
      <c r="D324" s="14" t="n">
        <v>12</v>
      </c>
      <c r="E324" s="14" t="n">
        <v>12</v>
      </c>
      <c r="F324" s="2" t="inlineStr">
        <is>
          <t>ha</t>
        </is>
      </c>
      <c r="G324" s="7" t="inlineStr">
        <is>
          <t>HYPOTHÈSE</t>
        </is>
      </c>
      <c r="H324" s="2" t="inlineStr"/>
      <c r="I324" s="8" t="inlineStr"/>
      <c r="J324" s="2" t="inlineStr">
        <is>
          <t>Scénarios — description physique</t>
        </is>
      </c>
    </row>
    <row r="325">
      <c r="A325" s="2" t="inlineStr">
        <is>
          <t>S1_ha_jardins</t>
        </is>
      </c>
      <c r="B325" s="2" t="inlineStr">
        <is>
          <t>S1 — jardins entretenus (abords, potager)</t>
        </is>
      </c>
      <c r="C325" s="14" t="n">
        <v>0.5</v>
      </c>
      <c r="D325" s="14" t="n">
        <v>0.5</v>
      </c>
      <c r="E325" s="14" t="n">
        <v>0.5</v>
      </c>
      <c r="F325" s="2" t="inlineStr">
        <is>
          <t>ha</t>
        </is>
      </c>
      <c r="G325" s="7" t="inlineStr">
        <is>
          <t>HYPOTHÈSE</t>
        </is>
      </c>
      <c r="H325" s="2" t="inlineStr"/>
      <c r="I325" s="8" t="inlineStr"/>
      <c r="J325" s="2" t="inlineStr">
        <is>
          <t>Scénarios — description physique</t>
        </is>
      </c>
    </row>
    <row r="326">
      <c r="A326" s="2" t="inlineStr">
        <is>
          <t>S1_ha_parc</t>
        </is>
      </c>
      <c r="B326" s="2" t="inlineStr">
        <is>
          <t>S1 — parc et pelouses</t>
        </is>
      </c>
      <c r="C326" s="14" t="n">
        <v>2.5</v>
      </c>
      <c r="D326" s="14" t="n">
        <v>2.5</v>
      </c>
      <c r="E326" s="14" t="n">
        <v>2.5</v>
      </c>
      <c r="F326" s="2" t="inlineStr">
        <is>
          <t>ha</t>
        </is>
      </c>
      <c r="G326" s="7" t="inlineStr">
        <is>
          <t>HYPOTHÈSE</t>
        </is>
      </c>
      <c r="H326" s="2" t="inlineStr"/>
      <c r="I326" s="8" t="inlineStr"/>
      <c r="J326" s="2" t="inlineStr">
        <is>
          <t>Scénarios — description physique</t>
        </is>
      </c>
    </row>
    <row r="327">
      <c r="A327" s="2" t="inlineStr">
        <is>
          <t>S1_ha_prairies</t>
        </is>
      </c>
      <c r="B327" s="2" t="inlineStr">
        <is>
          <t>S1 — prés, paddocks et prairies de fauche</t>
        </is>
      </c>
      <c r="C327" s="14" t="n">
        <v>35</v>
      </c>
      <c r="D327" s="14" t="n">
        <v>35</v>
      </c>
      <c r="E327" s="14" t="n">
        <v>35</v>
      </c>
      <c r="F327" s="2" t="inlineStr">
        <is>
          <t>ha</t>
        </is>
      </c>
      <c r="G327" s="7" t="inlineStr">
        <is>
          <t>HYPOTHÈSE</t>
        </is>
      </c>
      <c r="H327" s="2" t="inlineStr"/>
      <c r="I327" s="8" t="inlineStr"/>
      <c r="J327" s="2" t="inlineStr">
        <is>
          <t>Scénarios — description physique</t>
        </is>
      </c>
    </row>
    <row r="328">
      <c r="A328" s="2" t="inlineStr">
        <is>
          <t>S1_ml_clotures</t>
        </is>
      </c>
      <c r="B328" s="2" t="inlineStr">
        <is>
          <t>S1 — clôtures équestres et périphériques</t>
        </is>
      </c>
      <c r="C328" s="14" t="n">
        <v>3000</v>
      </c>
      <c r="D328" s="14" t="n">
        <v>3000</v>
      </c>
      <c r="E328" s="14" t="n">
        <v>3000</v>
      </c>
      <c r="F328" s="2" t="inlineStr">
        <is>
          <t>ml</t>
        </is>
      </c>
      <c r="G328" s="11" t="inlineStr">
        <is>
          <t>ESTIMATION</t>
        </is>
      </c>
      <c r="H328" s="2" t="inlineStr"/>
      <c r="I328" s="8" t="inlineStr">
        <is>
          <t>Pour 35 ha de prés découpés en paddocks : ≈ 85 ml/ha.</t>
        </is>
      </c>
      <c r="J328" s="2" t="inlineStr">
        <is>
          <t>Scénarios — description physique</t>
        </is>
      </c>
    </row>
    <row r="329">
      <c r="A329" s="2" t="inlineStr">
        <is>
          <t>S1_nb_baies</t>
        </is>
      </c>
      <c r="B329" s="2" t="inlineStr">
        <is>
          <t>S1 — nombre de baies (fenêtres et portes-fenêtres)</t>
        </is>
      </c>
      <c r="C329" s="14" t="n">
        <v>60</v>
      </c>
      <c r="D329" s="14" t="n">
        <v>60</v>
      </c>
      <c r="E329" s="14" t="n">
        <v>60</v>
      </c>
      <c r="F329" s="2" t="inlineStr">
        <is>
          <t>unités</t>
        </is>
      </c>
      <c r="G329" s="11" t="inlineStr">
        <is>
          <t>ESTIMATION</t>
        </is>
      </c>
      <c r="H329" s="2" t="inlineStr"/>
      <c r="I329" s="8" t="inlineStr">
        <is>
          <t>Environ une baie pour 15 m² de plancher du château + dépendances.</t>
        </is>
      </c>
      <c r="J329" s="2" t="inlineStr">
        <is>
          <t>Scénarios — description physique</t>
        </is>
      </c>
    </row>
    <row r="330">
      <c r="A330" s="2" t="inlineStr">
        <is>
          <t>S1_nb_boxes</t>
        </is>
      </c>
      <c r="B330" s="2" t="inlineStr">
        <is>
          <t>S1 — boxes</t>
        </is>
      </c>
      <c r="C330" s="14" t="n">
        <v>12</v>
      </c>
      <c r="D330" s="14" t="n">
        <v>12</v>
      </c>
      <c r="E330" s="14" t="n">
        <v>12</v>
      </c>
      <c r="F330" s="2" t="inlineStr">
        <is>
          <t>boxes</t>
        </is>
      </c>
      <c r="G330" s="7" t="inlineStr">
        <is>
          <t>HYPOTHÈSE</t>
        </is>
      </c>
      <c r="H330" s="2" t="inlineStr"/>
      <c r="I330" s="8" t="inlineStr"/>
      <c r="J330" s="2" t="inlineStr">
        <is>
          <t>Scénarios — description physique</t>
        </is>
      </c>
    </row>
    <row r="331">
      <c r="A331" s="2" t="inlineStr">
        <is>
          <t>S1_nb_chevaux</t>
        </is>
      </c>
      <c r="B331" s="2" t="inlineStr">
        <is>
          <t>S1 — chevaux appartenant au propriétaire</t>
        </is>
      </c>
      <c r="C331" s="14" t="n">
        <v>4</v>
      </c>
      <c r="D331" s="14" t="n">
        <v>4</v>
      </c>
      <c r="E331" s="14" t="n">
        <v>4</v>
      </c>
      <c r="F331" s="2" t="inlineStr">
        <is>
          <t>chevaux</t>
        </is>
      </c>
      <c r="G331" s="7" t="inlineStr">
        <is>
          <t>HYPOTHÈSE</t>
        </is>
      </c>
      <c r="H331" s="2" t="inlineStr"/>
      <c r="I331" s="8" t="inlineStr">
        <is>
          <t>Les autres boxes sont vides ou utilisés par une activité.</t>
        </is>
      </c>
      <c r="J331" s="2" t="inlineStr">
        <is>
          <t>Scénarios — description physique</t>
        </is>
      </c>
    </row>
    <row r="332">
      <c r="A332" s="2" t="inlineStr">
        <is>
          <t>S1_surf_chateau</t>
        </is>
      </c>
      <c r="B332" s="2" t="inlineStr">
        <is>
          <t>S1 — surface de plancher du château</t>
        </is>
      </c>
      <c r="C332" s="14" t="n">
        <v>900</v>
      </c>
      <c r="D332" s="14" t="n">
        <v>900</v>
      </c>
      <c r="E332" s="14" t="n">
        <v>900</v>
      </c>
      <c r="F332" s="2" t="inlineStr">
        <is>
          <t>m²</t>
        </is>
      </c>
      <c r="G332" s="7" t="inlineStr">
        <is>
          <t>HYPOTHÈSE</t>
        </is>
      </c>
      <c r="H332" s="2" t="inlineStr"/>
      <c r="I332" s="8" t="inlineStr">
        <is>
          <t>Choix de scénario : petit château ou grande maison de maître, environ 700 m² habitables.</t>
        </is>
      </c>
      <c r="J332" s="2" t="inlineStr">
        <is>
          <t>Scénarios — description physique</t>
        </is>
      </c>
    </row>
    <row r="333">
      <c r="A333" s="2" t="inlineStr">
        <is>
          <t>S1_surf_dep</t>
        </is>
      </c>
      <c r="B333" s="2" t="inlineStr">
        <is>
          <t>S1 — dépendances (écurie, grange)</t>
        </is>
      </c>
      <c r="C333" s="14" t="n">
        <v>600</v>
      </c>
      <c r="D333" s="14" t="n">
        <v>600</v>
      </c>
      <c r="E333" s="14" t="n">
        <v>600</v>
      </c>
      <c r="F333" s="2" t="inlineStr">
        <is>
          <t>m²</t>
        </is>
      </c>
      <c r="G333" s="7" t="inlineStr">
        <is>
          <t>HYPOTHÈSE</t>
        </is>
      </c>
      <c r="H333" s="2" t="inlineStr"/>
      <c r="I333" s="8" t="inlineStr"/>
      <c r="J333" s="2" t="inlineStr">
        <is>
          <t>Scénarios — description physique</t>
        </is>
      </c>
    </row>
    <row r="334">
      <c r="A334" s="2" t="inlineStr">
        <is>
          <t>S1_surf_facades</t>
        </is>
      </c>
      <c r="B334" s="2" t="inlineStr">
        <is>
          <t>S1 — façades (château et dépendances)</t>
        </is>
      </c>
      <c r="C334" s="14" t="n">
        <v>1800</v>
      </c>
      <c r="D334" s="14" t="n">
        <v>1800</v>
      </c>
      <c r="E334" s="14" t="n">
        <v>1800</v>
      </c>
      <c r="F334" s="2" t="inlineStr">
        <is>
          <t>m²</t>
        </is>
      </c>
      <c r="G334" s="11" t="inlineStr">
        <is>
          <t>ESTIMATION</t>
        </is>
      </c>
      <c r="H334" s="2" t="inlineStr"/>
      <c r="I334" s="8" t="inlineStr">
        <is>
          <t>Géométrie (ESTIMATION) : emprise ≈ plancher / nombre de niveaux ; toiture développée ≈ emprise × 1,4 (pente) ; façades ≈ périmètre × hauteur. Ordre de grandeur à remplacer par les métrés réels d'un bien. Château : périmètre ≈ 78 m × 12 m ; dépendances ≈ 150 m × 6 m.</t>
        </is>
      </c>
      <c r="J334" s="2" t="inlineStr">
        <is>
          <t>Scénarios — description physique</t>
        </is>
      </c>
    </row>
    <row r="335">
      <c r="A335" s="2" t="inlineStr">
        <is>
          <t>S1_surf_manege</t>
        </is>
      </c>
      <c r="B335" s="2" t="inlineStr">
        <is>
          <t>S1 — manège couvert (bâtiment)</t>
        </is>
      </c>
      <c r="C335" s="14" t="n">
        <v>0</v>
      </c>
      <c r="D335" s="14" t="n">
        <v>0</v>
      </c>
      <c r="E335" s="14" t="n">
        <v>0</v>
      </c>
      <c r="F335" s="2" t="inlineStr">
        <is>
          <t>m²</t>
        </is>
      </c>
      <c r="G335" s="7" t="inlineStr">
        <is>
          <t>HYPOTHÈSE</t>
        </is>
      </c>
      <c r="H335" s="2" t="inlineStr"/>
      <c r="I335" s="8" t="inlineStr"/>
      <c r="J335" s="2" t="inlineStr">
        <is>
          <t>Scénarios — description physique</t>
        </is>
      </c>
    </row>
    <row r="336">
      <c r="A336" s="2" t="inlineStr">
        <is>
          <t>S1_surf_pistes</t>
        </is>
      </c>
      <c r="B336" s="2" t="inlineStr">
        <is>
          <t>S1 — carrières (surface de sol équestre)</t>
        </is>
      </c>
      <c r="C336" s="14" t="n">
        <v>1800</v>
      </c>
      <c r="D336" s="14" t="n">
        <v>1800</v>
      </c>
      <c r="E336" s="14" t="n">
        <v>1800</v>
      </c>
      <c r="F336" s="2" t="inlineStr">
        <is>
          <t>m²</t>
        </is>
      </c>
      <c r="G336" s="7" t="inlineStr">
        <is>
          <t>HYPOTHÈSE</t>
        </is>
      </c>
      <c r="H336" s="2" t="inlineStr"/>
      <c r="I336" s="8" t="inlineStr">
        <is>
          <t>Une carrière de 60 × 30 m.</t>
        </is>
      </c>
      <c r="J336" s="2" t="inlineStr">
        <is>
          <t>Scénarios — description physique</t>
        </is>
      </c>
    </row>
    <row r="337">
      <c r="A337" s="2" t="inlineStr">
        <is>
          <t>S1_surf_toits</t>
        </is>
      </c>
      <c r="B337" s="2" t="inlineStr">
        <is>
          <t>S1 — toitures développées (château et dépendances)</t>
        </is>
      </c>
      <c r="C337" s="14" t="n">
        <v>1200</v>
      </c>
      <c r="D337" s="14" t="n">
        <v>1200</v>
      </c>
      <c r="E337" s="14" t="n">
        <v>1200</v>
      </c>
      <c r="F337" s="2" t="inlineStr">
        <is>
          <t>m²</t>
        </is>
      </c>
      <c r="G337" s="11" t="inlineStr">
        <is>
          <t>ESTIMATION</t>
        </is>
      </c>
      <c r="H337" s="2" t="inlineStr"/>
      <c r="I337" s="8" t="inlineStr">
        <is>
          <t>Géométrie (ESTIMATION) : emprise ≈ plancher / nombre de niveaux ; toiture développée ≈ emprise × 1,4 (pente) ; façades ≈ périmètre × hauteur. Ordre de grandeur à remplacer par les métrés réels d'un bien. Château : 3 niveaux, emprise ≈ 350 m² → ≈ 500 m² de toiture ; dépendances de plain-pied ≈ 600 m² d'emprise → ≈ 700 m².</t>
        </is>
      </c>
      <c r="J337" s="2" t="inlineStr">
        <is>
          <t>Scénarios — description physique</t>
        </is>
      </c>
    </row>
    <row r="338">
      <c r="A338" s="2" t="inlineStr">
        <is>
          <t>S2_ha_bois</t>
        </is>
      </c>
      <c r="B338" s="2" t="inlineStr">
        <is>
          <t>S2 — bois</t>
        </is>
      </c>
      <c r="C338" s="14" t="n">
        <v>30</v>
      </c>
      <c r="D338" s="14" t="n">
        <v>30</v>
      </c>
      <c r="E338" s="14" t="n">
        <v>30</v>
      </c>
      <c r="F338" s="2" t="inlineStr">
        <is>
          <t>ha</t>
        </is>
      </c>
      <c r="G338" s="7" t="inlineStr">
        <is>
          <t>HYPOTHÈSE</t>
        </is>
      </c>
      <c r="H338" s="2" t="inlineStr"/>
      <c r="I338" s="8" t="inlineStr"/>
      <c r="J338" s="2" t="inlineStr">
        <is>
          <t>Scénarios — description physique</t>
        </is>
      </c>
    </row>
    <row r="339">
      <c r="A339" s="2" t="inlineStr">
        <is>
          <t>S2_ha_jardins</t>
        </is>
      </c>
      <c r="B339" s="2" t="inlineStr">
        <is>
          <t>S2 — jardins réguliers et potager</t>
        </is>
      </c>
      <c r="C339" s="14" t="n">
        <v>2</v>
      </c>
      <c r="D339" s="14" t="n">
        <v>2</v>
      </c>
      <c r="E339" s="14" t="n">
        <v>2</v>
      </c>
      <c r="F339" s="2" t="inlineStr">
        <is>
          <t>ha</t>
        </is>
      </c>
      <c r="G339" s="7" t="inlineStr">
        <is>
          <t>HYPOTHÈSE</t>
        </is>
      </c>
      <c r="H339" s="2" t="inlineStr"/>
      <c r="I339" s="8" t="inlineStr"/>
      <c r="J339" s="2" t="inlineStr">
        <is>
          <t>Scénarios — description physique</t>
        </is>
      </c>
    </row>
    <row r="340">
      <c r="A340" s="2" t="inlineStr">
        <is>
          <t>S2_ha_parc</t>
        </is>
      </c>
      <c r="B340" s="2" t="inlineStr">
        <is>
          <t>S2 — parc paysager</t>
        </is>
      </c>
      <c r="C340" s="14" t="n">
        <v>8</v>
      </c>
      <c r="D340" s="14" t="n">
        <v>8</v>
      </c>
      <c r="E340" s="14" t="n">
        <v>8</v>
      </c>
      <c r="F340" s="2" t="inlineStr">
        <is>
          <t>ha</t>
        </is>
      </c>
      <c r="G340" s="7" t="inlineStr">
        <is>
          <t>HYPOTHÈSE</t>
        </is>
      </c>
      <c r="H340" s="2" t="inlineStr"/>
      <c r="I340" s="8" t="inlineStr"/>
      <c r="J340" s="2" t="inlineStr">
        <is>
          <t>Scénarios — description physique</t>
        </is>
      </c>
    </row>
    <row r="341">
      <c r="A341" s="2" t="inlineStr">
        <is>
          <t>S2_ha_prairies</t>
        </is>
      </c>
      <c r="B341" s="2" t="inlineStr">
        <is>
          <t>S2 — prés, paddocks et prairies de fauche</t>
        </is>
      </c>
      <c r="C341" s="14" t="n">
        <v>80</v>
      </c>
      <c r="D341" s="14" t="n">
        <v>80</v>
      </c>
      <c r="E341" s="14" t="n">
        <v>80</v>
      </c>
      <c r="F341" s="2" t="inlineStr">
        <is>
          <t>ha</t>
        </is>
      </c>
      <c r="G341" s="7" t="inlineStr">
        <is>
          <t>HYPOTHÈSE</t>
        </is>
      </c>
      <c r="H341" s="2" t="inlineStr"/>
      <c r="I341" s="8" t="inlineStr"/>
      <c r="J341" s="2" t="inlineStr">
        <is>
          <t>Scénarios — description physique</t>
        </is>
      </c>
    </row>
    <row r="342">
      <c r="A342" s="2" t="inlineStr">
        <is>
          <t>S2_ml_clotures</t>
        </is>
      </c>
      <c r="B342" s="2" t="inlineStr">
        <is>
          <t>S2 — clôtures</t>
        </is>
      </c>
      <c r="C342" s="14" t="n">
        <v>7000</v>
      </c>
      <c r="D342" s="14" t="n">
        <v>7000</v>
      </c>
      <c r="E342" s="14" t="n">
        <v>7000</v>
      </c>
      <c r="F342" s="2" t="inlineStr">
        <is>
          <t>ml</t>
        </is>
      </c>
      <c r="G342" s="11" t="inlineStr">
        <is>
          <t>ESTIMATION</t>
        </is>
      </c>
      <c r="H342" s="2" t="inlineStr"/>
      <c r="I342" s="8" t="inlineStr">
        <is>
          <t>Pour 80 ha de prés : ≈ 85 ml/ha.</t>
        </is>
      </c>
      <c r="J342" s="2" t="inlineStr">
        <is>
          <t>Scénarios — description physique</t>
        </is>
      </c>
    </row>
    <row r="343">
      <c r="A343" s="2" t="inlineStr">
        <is>
          <t>S2_nb_baies</t>
        </is>
      </c>
      <c r="B343" s="2" t="inlineStr">
        <is>
          <t>S2 — nombre de baies</t>
        </is>
      </c>
      <c r="C343" s="14" t="n">
        <v>130</v>
      </c>
      <c r="D343" s="14" t="n">
        <v>130</v>
      </c>
      <c r="E343" s="14" t="n">
        <v>130</v>
      </c>
      <c r="F343" s="2" t="inlineStr">
        <is>
          <t>unités</t>
        </is>
      </c>
      <c r="G343" s="11" t="inlineStr">
        <is>
          <t>ESTIMATION</t>
        </is>
      </c>
      <c r="H343" s="2" t="inlineStr"/>
      <c r="I343" s="8" t="inlineStr"/>
      <c r="J343" s="2" t="inlineStr">
        <is>
          <t>Scénarios — description physique</t>
        </is>
      </c>
    </row>
    <row r="344">
      <c r="A344" s="2" t="inlineStr">
        <is>
          <t>S2_nb_boxes</t>
        </is>
      </c>
      <c r="B344" s="2" t="inlineStr">
        <is>
          <t>S2 — boxes</t>
        </is>
      </c>
      <c r="C344" s="14" t="n">
        <v>40</v>
      </c>
      <c r="D344" s="14" t="n">
        <v>40</v>
      </c>
      <c r="E344" s="14" t="n">
        <v>40</v>
      </c>
      <c r="F344" s="2" t="inlineStr">
        <is>
          <t>boxes</t>
        </is>
      </c>
      <c r="G344" s="7" t="inlineStr">
        <is>
          <t>HYPOTHÈSE</t>
        </is>
      </c>
      <c r="H344" s="2" t="inlineStr"/>
      <c r="I344" s="8" t="inlineStr"/>
      <c r="J344" s="2" t="inlineStr">
        <is>
          <t>Scénarios — description physique</t>
        </is>
      </c>
    </row>
    <row r="345">
      <c r="A345" s="2" t="inlineStr">
        <is>
          <t>S2_nb_chevaux</t>
        </is>
      </c>
      <c r="B345" s="2" t="inlineStr">
        <is>
          <t>S2 — chevaux appartenant au propriétaire</t>
        </is>
      </c>
      <c r="C345" s="14" t="n">
        <v>8</v>
      </c>
      <c r="D345" s="14" t="n">
        <v>8</v>
      </c>
      <c r="E345" s="14" t="n">
        <v>8</v>
      </c>
      <c r="F345" s="2" t="inlineStr">
        <is>
          <t>chevaux</t>
        </is>
      </c>
      <c r="G345" s="7" t="inlineStr">
        <is>
          <t>HYPOTHÈSE</t>
        </is>
      </c>
      <c r="H345" s="2" t="inlineStr"/>
      <c r="I345" s="8" t="inlineStr"/>
      <c r="J345" s="2" t="inlineStr">
        <is>
          <t>Scénarios — description physique</t>
        </is>
      </c>
    </row>
    <row r="346">
      <c r="A346" s="2" t="inlineStr">
        <is>
          <t>S2_surf_chateau</t>
        </is>
      </c>
      <c r="B346" s="2" t="inlineStr">
        <is>
          <t>S2 — surface de plancher du château</t>
        </is>
      </c>
      <c r="C346" s="14" t="n">
        <v>2000</v>
      </c>
      <c r="D346" s="14" t="n">
        <v>2000</v>
      </c>
      <c r="E346" s="14" t="n">
        <v>2000</v>
      </c>
      <c r="F346" s="2" t="inlineStr">
        <is>
          <t>m²</t>
        </is>
      </c>
      <c r="G346" s="7" t="inlineStr">
        <is>
          <t>HYPOTHÈSE</t>
        </is>
      </c>
      <c r="H346" s="2" t="inlineStr"/>
      <c r="I346" s="8" t="inlineStr">
        <is>
          <t>Choix de scénario : château de taille moyenne à grande.</t>
        </is>
      </c>
      <c r="J346" s="2" t="inlineStr">
        <is>
          <t>Scénarios — description physique</t>
        </is>
      </c>
    </row>
    <row r="347">
      <c r="A347" s="2" t="inlineStr">
        <is>
          <t>S2_surf_dep</t>
        </is>
      </c>
      <c r="B347" s="2" t="inlineStr">
        <is>
          <t>S2 — dépendances (écuries historiques, communs, granges)</t>
        </is>
      </c>
      <c r="C347" s="14" t="n">
        <v>2500</v>
      </c>
      <c r="D347" s="14" t="n">
        <v>2500</v>
      </c>
      <c r="E347" s="14" t="n">
        <v>2500</v>
      </c>
      <c r="F347" s="2" t="inlineStr">
        <is>
          <t>m²</t>
        </is>
      </c>
      <c r="G347" s="7" t="inlineStr">
        <is>
          <t>HYPOTHÈSE</t>
        </is>
      </c>
      <c r="H347" s="2" t="inlineStr"/>
      <c r="I347" s="8" t="inlineStr"/>
      <c r="J347" s="2" t="inlineStr">
        <is>
          <t>Scénarios — description physique</t>
        </is>
      </c>
    </row>
    <row r="348">
      <c r="A348" s="2" t="inlineStr">
        <is>
          <t>S2_surf_facades</t>
        </is>
      </c>
      <c r="B348" s="2" t="inlineStr">
        <is>
          <t>S2 — façades</t>
        </is>
      </c>
      <c r="C348" s="14" t="n">
        <v>4000</v>
      </c>
      <c r="D348" s="14" t="n">
        <v>4000</v>
      </c>
      <c r="E348" s="14" t="n">
        <v>4000</v>
      </c>
      <c r="F348" s="2" t="inlineStr">
        <is>
          <t>m²</t>
        </is>
      </c>
      <c r="G348" s="11" t="inlineStr">
        <is>
          <t>ESTIMATION</t>
        </is>
      </c>
      <c r="H348" s="2" t="inlineStr"/>
      <c r="I348" s="8" t="inlineStr">
        <is>
          <t>Géométrie (ESTIMATION) : emprise ≈ plancher / nombre de niveaux ; toiture développée ≈ emprise × 1,4 (pente) ; façades ≈ périmètre × hauteur. Ordre de grandeur à remplacer par les métrés réels d'un bien. Château : ≈ 115 m × 14 m ; dépendances ≈ 350 m × 7 m.</t>
        </is>
      </c>
      <c r="J348" s="2" t="inlineStr">
        <is>
          <t>Scénarios — description physique</t>
        </is>
      </c>
    </row>
    <row r="349">
      <c r="A349" s="2" t="inlineStr">
        <is>
          <t>S2_surf_manege</t>
        </is>
      </c>
      <c r="B349" s="2" t="inlineStr">
        <is>
          <t>S2 — manège couvert (bâtiment)</t>
        </is>
      </c>
      <c r="C349" s="14" t="n">
        <v>1500</v>
      </c>
      <c r="D349" s="14" t="n">
        <v>1500</v>
      </c>
      <c r="E349" s="14" t="n">
        <v>1500</v>
      </c>
      <c r="F349" s="2" t="inlineStr">
        <is>
          <t>m²</t>
        </is>
      </c>
      <c r="G349" s="7" t="inlineStr">
        <is>
          <t>HYPOTHÈSE</t>
        </is>
      </c>
      <c r="H349" s="2" t="inlineStr"/>
      <c r="I349" s="8" t="inlineStr"/>
      <c r="J349" s="2" t="inlineStr">
        <is>
          <t>Scénarios — description physique</t>
        </is>
      </c>
    </row>
    <row r="350">
      <c r="A350" s="2" t="inlineStr">
        <is>
          <t>S2_surf_pistes</t>
        </is>
      </c>
      <c r="B350" s="2" t="inlineStr">
        <is>
          <t>S2 — carrières et sol du manège</t>
        </is>
      </c>
      <c r="C350" s="14" t="n">
        <v>7100</v>
      </c>
      <c r="D350" s="14" t="n">
        <v>7100</v>
      </c>
      <c r="E350" s="14" t="n">
        <v>7100</v>
      </c>
      <c r="F350" s="2" t="inlineStr">
        <is>
          <t>m²</t>
        </is>
      </c>
      <c r="G350" s="7" t="inlineStr">
        <is>
          <t>HYPOTHÈSE</t>
        </is>
      </c>
      <c r="H350" s="2" t="inlineStr"/>
      <c r="I350" s="8" t="inlineStr">
        <is>
          <t>Deux carrières de 70 × 40 m et le sol d'un manège de 60 × 25 m.</t>
        </is>
      </c>
      <c r="J350" s="2" t="inlineStr">
        <is>
          <t>Scénarios — description physique</t>
        </is>
      </c>
    </row>
    <row r="351">
      <c r="A351" s="2" t="inlineStr">
        <is>
          <t>S2_surf_toits</t>
        </is>
      </c>
      <c r="B351" s="2" t="inlineStr">
        <is>
          <t>S2 — toitures développées</t>
        </is>
      </c>
      <c r="C351" s="14" t="n">
        <v>3300</v>
      </c>
      <c r="D351" s="14" t="n">
        <v>3300</v>
      </c>
      <c r="E351" s="14" t="n">
        <v>3300</v>
      </c>
      <c r="F351" s="2" t="inlineStr">
        <is>
          <t>m²</t>
        </is>
      </c>
      <c r="G351" s="11" t="inlineStr">
        <is>
          <t>ESTIMATION</t>
        </is>
      </c>
      <c r="H351" s="2" t="inlineStr"/>
      <c r="I351" s="8" t="inlineStr">
        <is>
          <t>Géométrie (ESTIMATION) : emprise ≈ plancher / nombre de niveaux ; toiture développée ≈ emprise × 1,4 (pente) ; façades ≈ périmètre × hauteur. Ordre de grandeur à remplacer par les métrés réels d'un bien. Château ≈ 700 m² d'emprise → ≈ 1 000 m² ; dépendances ≈ 1 650 m² d'emprise → ≈ 2 300 m².</t>
        </is>
      </c>
      <c r="J351" s="2" t="inlineStr">
        <is>
          <t>Scénarios — description physique</t>
        </is>
      </c>
    </row>
    <row r="352">
      <c r="A352" s="2" t="inlineStr">
        <is>
          <t>S3_ha_bois</t>
        </is>
      </c>
      <c r="B352" s="2" t="inlineStr">
        <is>
          <t>S3 — bois</t>
        </is>
      </c>
      <c r="C352" s="14" t="n">
        <v>120</v>
      </c>
      <c r="D352" s="14" t="n">
        <v>120</v>
      </c>
      <c r="E352" s="14" t="n">
        <v>120</v>
      </c>
      <c r="F352" s="2" t="inlineStr">
        <is>
          <t>ha</t>
        </is>
      </c>
      <c r="G352" s="7" t="inlineStr">
        <is>
          <t>HYPOTHÈSE</t>
        </is>
      </c>
      <c r="H352" s="2" t="inlineStr"/>
      <c r="I352" s="8" t="inlineStr"/>
      <c r="J352" s="2" t="inlineStr">
        <is>
          <t>Scénarios — description physique</t>
        </is>
      </c>
    </row>
    <row r="353">
      <c r="A353" s="2" t="inlineStr">
        <is>
          <t>S3_ha_jardins</t>
        </is>
      </c>
      <c r="B353" s="2" t="inlineStr">
        <is>
          <t>S3 — jardins réguliers, parterres, potager</t>
        </is>
      </c>
      <c r="C353" s="14" t="n">
        <v>10</v>
      </c>
      <c r="D353" s="14" t="n">
        <v>10</v>
      </c>
      <c r="E353" s="14" t="n">
        <v>10</v>
      </c>
      <c r="F353" s="2" t="inlineStr">
        <is>
          <t>ha</t>
        </is>
      </c>
      <c r="G353" s="7" t="inlineStr">
        <is>
          <t>HYPOTHÈSE</t>
        </is>
      </c>
      <c r="H353" s="2" t="inlineStr"/>
      <c r="I353" s="8" t="inlineStr"/>
      <c r="J353" s="2" t="inlineStr">
        <is>
          <t>Scénarios — description physique</t>
        </is>
      </c>
    </row>
    <row r="354">
      <c r="A354" s="2" t="inlineStr">
        <is>
          <t>S3_ha_parc</t>
        </is>
      </c>
      <c r="B354" s="2" t="inlineStr">
        <is>
          <t>S3 — parc paysager</t>
        </is>
      </c>
      <c r="C354" s="14" t="n">
        <v>50</v>
      </c>
      <c r="D354" s="14" t="n">
        <v>50</v>
      </c>
      <c r="E354" s="14" t="n">
        <v>50</v>
      </c>
      <c r="F354" s="2" t="inlineStr">
        <is>
          <t>ha</t>
        </is>
      </c>
      <c r="G354" s="7" t="inlineStr">
        <is>
          <t>HYPOTHÈSE</t>
        </is>
      </c>
      <c r="H354" s="2" t="inlineStr"/>
      <c r="I354" s="8" t="inlineStr"/>
      <c r="J354" s="2" t="inlineStr">
        <is>
          <t>Scénarios — description physique</t>
        </is>
      </c>
    </row>
    <row r="355">
      <c r="A355" s="2" t="inlineStr">
        <is>
          <t>S3_ha_prairies</t>
        </is>
      </c>
      <c r="B355" s="2" t="inlineStr">
        <is>
          <t>S3 — prés, paddocks et terres</t>
        </is>
      </c>
      <c r="C355" s="14" t="n">
        <v>120</v>
      </c>
      <c r="D355" s="14" t="n">
        <v>120</v>
      </c>
      <c r="E355" s="14" t="n">
        <v>120</v>
      </c>
      <c r="F355" s="2" t="inlineStr">
        <is>
          <t>ha</t>
        </is>
      </c>
      <c r="G355" s="7" t="inlineStr">
        <is>
          <t>HYPOTHÈSE</t>
        </is>
      </c>
      <c r="H355" s="2" t="inlineStr"/>
      <c r="I355" s="8" t="inlineStr"/>
      <c r="J355" s="2" t="inlineStr">
        <is>
          <t>Scénarios — description physique</t>
        </is>
      </c>
    </row>
    <row r="356">
      <c r="A356" s="2" t="inlineStr">
        <is>
          <t>S3_ml_clotures</t>
        </is>
      </c>
      <c r="B356" s="2" t="inlineStr">
        <is>
          <t>S3 — clôtures</t>
        </is>
      </c>
      <c r="C356" s="14" t="n">
        <v>10000</v>
      </c>
      <c r="D356" s="14" t="n">
        <v>10000</v>
      </c>
      <c r="E356" s="14" t="n">
        <v>10000</v>
      </c>
      <c r="F356" s="2" t="inlineStr">
        <is>
          <t>ml</t>
        </is>
      </c>
      <c r="G356" s="11" t="inlineStr">
        <is>
          <t>ESTIMATION</t>
        </is>
      </c>
      <c r="H356" s="2" t="inlineStr"/>
      <c r="I356" s="8" t="inlineStr">
        <is>
          <t>Pour 120 ha : ≈ 85 ml/ha.</t>
        </is>
      </c>
      <c r="J356" s="2" t="inlineStr">
        <is>
          <t>Scénarios — description physique</t>
        </is>
      </c>
    </row>
    <row r="357">
      <c r="A357" s="2" t="inlineStr">
        <is>
          <t>S3_nb_baies</t>
        </is>
      </c>
      <c r="B357" s="2" t="inlineStr">
        <is>
          <t>S3 — nombre de baies</t>
        </is>
      </c>
      <c r="C357" s="14" t="n">
        <v>260</v>
      </c>
      <c r="D357" s="14" t="n">
        <v>260</v>
      </c>
      <c r="E357" s="14" t="n">
        <v>260</v>
      </c>
      <c r="F357" s="2" t="inlineStr">
        <is>
          <t>unités</t>
        </is>
      </c>
      <c r="G357" s="11" t="inlineStr">
        <is>
          <t>ESTIMATION</t>
        </is>
      </c>
      <c r="H357" s="2" t="inlineStr"/>
      <c r="I357" s="8" t="inlineStr"/>
      <c r="J357" s="2" t="inlineStr">
        <is>
          <t>Scénarios — description physique</t>
        </is>
      </c>
    </row>
    <row r="358">
      <c r="A358" s="2" t="inlineStr">
        <is>
          <t>S3_nb_boxes</t>
        </is>
      </c>
      <c r="B358" s="2" t="inlineStr">
        <is>
          <t>S3 — boxes</t>
        </is>
      </c>
      <c r="C358" s="14" t="n">
        <v>50</v>
      </c>
      <c r="D358" s="14" t="n">
        <v>50</v>
      </c>
      <c r="E358" s="14" t="n">
        <v>50</v>
      </c>
      <c r="F358" s="2" t="inlineStr">
        <is>
          <t>boxes</t>
        </is>
      </c>
      <c r="G358" s="7" t="inlineStr">
        <is>
          <t>HYPOTHÈSE</t>
        </is>
      </c>
      <c r="H358" s="2" t="inlineStr"/>
      <c r="I358" s="8" t="inlineStr"/>
      <c r="J358" s="2" t="inlineStr">
        <is>
          <t>Scénarios — description physique</t>
        </is>
      </c>
    </row>
    <row r="359">
      <c r="A359" s="2" t="inlineStr">
        <is>
          <t>S3_nb_chevaux</t>
        </is>
      </c>
      <c r="B359" s="2" t="inlineStr">
        <is>
          <t>S3 — chevaux appartenant au propriétaire</t>
        </is>
      </c>
      <c r="C359" s="14" t="n">
        <v>12</v>
      </c>
      <c r="D359" s="14" t="n">
        <v>12</v>
      </c>
      <c r="E359" s="14" t="n">
        <v>12</v>
      </c>
      <c r="F359" s="2" t="inlineStr">
        <is>
          <t>chevaux</t>
        </is>
      </c>
      <c r="G359" s="7" t="inlineStr">
        <is>
          <t>HYPOTHÈSE</t>
        </is>
      </c>
      <c r="H359" s="2" t="inlineStr"/>
      <c r="I359" s="8" t="inlineStr"/>
      <c r="J359" s="2" t="inlineStr">
        <is>
          <t>Scénarios — description physique</t>
        </is>
      </c>
    </row>
    <row r="360">
      <c r="A360" s="2" t="inlineStr">
        <is>
          <t>S3_surf_chateau</t>
        </is>
      </c>
      <c r="B360" s="2" t="inlineStr">
        <is>
          <t>S3 — surface de plancher du château</t>
        </is>
      </c>
      <c r="C360" s="14" t="n">
        <v>4500</v>
      </c>
      <c r="D360" s="14" t="n">
        <v>4500</v>
      </c>
      <c r="E360" s="14" t="n">
        <v>4500</v>
      </c>
      <c r="F360" s="2" t="inlineStr">
        <is>
          <t>m²</t>
        </is>
      </c>
      <c r="G360" s="7" t="inlineStr">
        <is>
          <t>HYPOTHÈSE</t>
        </is>
      </c>
      <c r="H360" s="2" t="inlineStr"/>
      <c r="I360" s="8" t="inlineStr">
        <is>
          <t>Choix de scénario : grand château historique avec décors intérieurs.</t>
        </is>
      </c>
      <c r="J360" s="2" t="inlineStr">
        <is>
          <t>Scénarios — description physique</t>
        </is>
      </c>
    </row>
    <row r="361">
      <c r="A361" s="2" t="inlineStr">
        <is>
          <t>S3_surf_dep</t>
        </is>
      </c>
      <c r="B361" s="2" t="inlineStr">
        <is>
          <t>S3 — dépendances (orangerie, communs, chapelle, logements, écuries)</t>
        </is>
      </c>
      <c r="C361" s="14" t="n">
        <v>4000</v>
      </c>
      <c r="D361" s="14" t="n">
        <v>4000</v>
      </c>
      <c r="E361" s="14" t="n">
        <v>4000</v>
      </c>
      <c r="F361" s="2" t="inlineStr">
        <is>
          <t>m²</t>
        </is>
      </c>
      <c r="G361" s="7" t="inlineStr">
        <is>
          <t>HYPOTHÈSE</t>
        </is>
      </c>
      <c r="H361" s="2" t="inlineStr"/>
      <c r="I361" s="8" t="inlineStr"/>
      <c r="J361" s="2" t="inlineStr">
        <is>
          <t>Scénarios — description physique</t>
        </is>
      </c>
    </row>
    <row r="362">
      <c r="A362" s="2" t="inlineStr">
        <is>
          <t>S3_surf_facades</t>
        </is>
      </c>
      <c r="B362" s="2" t="inlineStr">
        <is>
          <t>S3 — façades</t>
        </is>
      </c>
      <c r="C362" s="14" t="n">
        <v>6200</v>
      </c>
      <c r="D362" s="14" t="n">
        <v>6200</v>
      </c>
      <c r="E362" s="14" t="n">
        <v>6200</v>
      </c>
      <c r="F362" s="2" t="inlineStr">
        <is>
          <t>m²</t>
        </is>
      </c>
      <c r="G362" s="11" t="inlineStr">
        <is>
          <t>ESTIMATION</t>
        </is>
      </c>
      <c r="H362" s="2" t="inlineStr"/>
      <c r="I362" s="8" t="inlineStr">
        <is>
          <t>Géométrie (ESTIMATION) : emprise ≈ plancher / nombre de niveaux ; toiture développée ≈ emprise × 1,4 (pente) ; façades ≈ périmètre × hauteur. Ordre de grandeur à remplacer par les métrés réels d'un bien. Château : ≈ 170 m × 16 m ; dépendances ≈ 500 m × 7 m.</t>
        </is>
      </c>
      <c r="J362" s="2" t="inlineStr">
        <is>
          <t>Scénarios — description physique</t>
        </is>
      </c>
    </row>
    <row r="363">
      <c r="A363" s="2" t="inlineStr">
        <is>
          <t>S3_surf_manege</t>
        </is>
      </c>
      <c r="B363" s="2" t="inlineStr">
        <is>
          <t>S3 — manège couvert (bâtiment)</t>
        </is>
      </c>
      <c r="C363" s="14" t="n">
        <v>1500</v>
      </c>
      <c r="D363" s="14" t="n">
        <v>1500</v>
      </c>
      <c r="E363" s="14" t="n">
        <v>1500</v>
      </c>
      <c r="F363" s="2" t="inlineStr">
        <is>
          <t>m²</t>
        </is>
      </c>
      <c r="G363" s="7" t="inlineStr">
        <is>
          <t>HYPOTHÈSE</t>
        </is>
      </c>
      <c r="H363" s="2" t="inlineStr"/>
      <c r="I363" s="8" t="inlineStr"/>
      <c r="J363" s="2" t="inlineStr">
        <is>
          <t>Scénarios — description physique</t>
        </is>
      </c>
    </row>
    <row r="364">
      <c r="A364" s="2" t="inlineStr">
        <is>
          <t>S3_surf_pistes</t>
        </is>
      </c>
      <c r="B364" s="2" t="inlineStr">
        <is>
          <t>S3 — carrières et sol du manège</t>
        </is>
      </c>
      <c r="C364" s="14" t="n">
        <v>7500</v>
      </c>
      <c r="D364" s="14" t="n">
        <v>7500</v>
      </c>
      <c r="E364" s="14" t="n">
        <v>7500</v>
      </c>
      <c r="F364" s="2" t="inlineStr">
        <is>
          <t>m²</t>
        </is>
      </c>
      <c r="G364" s="7" t="inlineStr">
        <is>
          <t>HYPOTHÈSE</t>
        </is>
      </c>
      <c r="H364" s="2" t="inlineStr"/>
      <c r="I364" s="8" t="inlineStr"/>
      <c r="J364" s="2" t="inlineStr">
        <is>
          <t>Scénarios — description physique</t>
        </is>
      </c>
    </row>
    <row r="365">
      <c r="A365" s="2" t="inlineStr">
        <is>
          <t>S3_surf_toits</t>
        </is>
      </c>
      <c r="B365" s="2" t="inlineStr">
        <is>
          <t>S3 — toitures développées</t>
        </is>
      </c>
      <c r="C365" s="14" t="n">
        <v>6000</v>
      </c>
      <c r="D365" s="14" t="n">
        <v>6000</v>
      </c>
      <c r="E365" s="14" t="n">
        <v>6000</v>
      </c>
      <c r="F365" s="2" t="inlineStr">
        <is>
          <t>m²</t>
        </is>
      </c>
      <c r="G365" s="11" t="inlineStr">
        <is>
          <t>ESTIMATION</t>
        </is>
      </c>
      <c r="H365" s="2" t="inlineStr"/>
      <c r="I365" s="8" t="inlineStr">
        <is>
          <t>Géométrie (ESTIMATION) : emprise ≈ plancher / nombre de niveaux ; toiture développée ≈ emprise × 1,4 (pente) ; façades ≈ périmètre × hauteur. Ordre de grandeur à remplacer par les métrés réels d'un bien. Château ≈ 1 500 m² d'emprise → ≈ 2 100 m² ; dépendances ≈ 2 800 m² d'emprise → ≈ 3 900 m².</t>
        </is>
      </c>
      <c r="J365" s="2" t="inlineStr">
        <is>
          <t>Scénarios — description physique</t>
        </is>
      </c>
    </row>
    <row r="366">
      <c r="A366" s="5" t="inlineStr">
        <is>
          <t>— Stress tests —</t>
        </is>
      </c>
    </row>
    <row r="367">
      <c r="A367" s="2" t="inlineStr">
        <is>
          <t>st_ca30_choc_trav_an</t>
        </is>
      </c>
      <c r="B367" s="2" t="inlineStr">
        <is>
          <t>Test « ca30 » — choc_trav_an</t>
        </is>
      </c>
      <c r="C367" s="14" t="n">
        <v>0</v>
      </c>
      <c r="D367" s="14" t="n">
        <v>0</v>
      </c>
      <c r="E367" s="14" t="n">
        <v>0</v>
      </c>
      <c r="F367" s="2" t="inlineStr">
        <is>
          <t>paramètre</t>
        </is>
      </c>
      <c r="G367" s="7" t="inlineStr">
        <is>
          <t>HYPOTHÈSE</t>
        </is>
      </c>
      <c r="H367" s="2" t="inlineStr"/>
      <c r="I367" s="8" t="inlineStr">
        <is>
          <t>Chiffre d'affaires des activités −30 % dès l'année 3</t>
        </is>
      </c>
      <c r="J367" s="2" t="inlineStr">
        <is>
          <t>Stress tests</t>
        </is>
      </c>
    </row>
    <row r="368">
      <c r="A368" s="2" t="inlineStr">
        <is>
          <t>st_ca30_choc_trav_montant</t>
        </is>
      </c>
      <c r="B368" s="2" t="inlineStr">
        <is>
          <t>Test « ca30 » — choc_trav_montant</t>
        </is>
      </c>
      <c r="C368" s="14" t="n">
        <v>0</v>
      </c>
      <c r="D368" s="14" t="n">
        <v>0</v>
      </c>
      <c r="E368" s="14" t="n">
        <v>0</v>
      </c>
      <c r="F368" s="2" t="inlineStr">
        <is>
          <t>paramètre</t>
        </is>
      </c>
      <c r="G368" s="7" t="inlineStr">
        <is>
          <t>HYPOTHÈSE</t>
        </is>
      </c>
      <c r="H368" s="2" t="inlineStr"/>
      <c r="I368" s="8" t="inlineStr">
        <is>
          <t>Chiffre d'affaires des activités −30 % dès l'année 3</t>
        </is>
      </c>
      <c r="J368" s="2" t="inlineStr">
        <is>
          <t>Stress tests</t>
        </is>
      </c>
    </row>
    <row r="369">
      <c r="A369" s="2" t="inlineStr">
        <is>
          <t>st_ca30_crise_an</t>
        </is>
      </c>
      <c r="B369" s="2" t="inlineStr">
        <is>
          <t>Test « ca30 » — crise_an</t>
        </is>
      </c>
      <c r="C369" s="14" t="n">
        <v>0</v>
      </c>
      <c r="D369" s="14" t="n">
        <v>0</v>
      </c>
      <c r="E369" s="14" t="n">
        <v>0</v>
      </c>
      <c r="F369" s="2" t="inlineStr">
        <is>
          <t>paramètre</t>
        </is>
      </c>
      <c r="G369" s="7" t="inlineStr">
        <is>
          <t>HYPOTHÈSE</t>
        </is>
      </c>
      <c r="H369" s="2" t="inlineStr"/>
      <c r="I369" s="8" t="inlineStr">
        <is>
          <t>Chiffre d'affaires des activités −30 % dès l'année 3</t>
        </is>
      </c>
      <c r="J369" s="2" t="inlineStr">
        <is>
          <t>Stress tests</t>
        </is>
      </c>
    </row>
    <row r="370">
      <c r="A370" s="2" t="inlineStr">
        <is>
          <t>st_ca30_debut_mult</t>
        </is>
      </c>
      <c r="B370" s="2" t="inlineStr">
        <is>
          <t>Test « ca30 » — debut_mult</t>
        </is>
      </c>
      <c r="C370" s="14" t="n">
        <v>3</v>
      </c>
      <c r="D370" s="14" t="n">
        <v>3</v>
      </c>
      <c r="E370" s="14" t="n">
        <v>3</v>
      </c>
      <c r="F370" s="2" t="inlineStr">
        <is>
          <t>paramètre</t>
        </is>
      </c>
      <c r="G370" s="7" t="inlineStr">
        <is>
          <t>HYPOTHÈSE</t>
        </is>
      </c>
      <c r="H370" s="2" t="inlineStr"/>
      <c r="I370" s="8" t="inlineStr">
        <is>
          <t>Chiffre d'affaires des activités −30 % dès l'année 3</t>
        </is>
      </c>
      <c r="J370" s="2" t="inlineStr">
        <is>
          <t>Stress tests</t>
        </is>
      </c>
    </row>
    <row r="371">
      <c r="A371" s="2" t="inlineStr">
        <is>
          <t>st_ca30_div_fin</t>
        </is>
      </c>
      <c r="B371" s="2" t="inlineStr">
        <is>
          <t>Test « ca30 » — div_fin</t>
        </is>
      </c>
      <c r="C371" s="14" t="n">
        <v>99</v>
      </c>
      <c r="D371" s="14" t="n">
        <v>99</v>
      </c>
      <c r="E371" s="14" t="n">
        <v>99</v>
      </c>
      <c r="F371" s="2" t="inlineStr">
        <is>
          <t>paramètre</t>
        </is>
      </c>
      <c r="G371" s="7" t="inlineStr">
        <is>
          <t>HYPOTHÈSE</t>
        </is>
      </c>
      <c r="H371" s="2" t="inlineStr"/>
      <c r="I371" s="8" t="inlineStr">
        <is>
          <t>Chiffre d'affaires des activités −30 % dès l'année 3</t>
        </is>
      </c>
      <c r="J371" s="2" t="inlineStr">
        <is>
          <t>Stress tests</t>
        </is>
      </c>
    </row>
    <row r="372">
      <c r="A372" s="2" t="inlineStr">
        <is>
          <t>st_ca30_dot_rdt_delta</t>
        </is>
      </c>
      <c r="B372" s="2" t="inlineStr">
        <is>
          <t>Test « ca30 » — dot_rdt_delta</t>
        </is>
      </c>
      <c r="C372" s="14" t="n">
        <v>0</v>
      </c>
      <c r="D372" s="14" t="n">
        <v>0</v>
      </c>
      <c r="E372" s="14" t="n">
        <v>0</v>
      </c>
      <c r="F372" s="2" t="inlineStr">
        <is>
          <t>paramètre</t>
        </is>
      </c>
      <c r="G372" s="7" t="inlineStr">
        <is>
          <t>HYPOTHÈSE</t>
        </is>
      </c>
      <c r="H372" s="2" t="inlineStr"/>
      <c r="I372" s="8" t="inlineStr">
        <is>
          <t>Chiffre d'affaires des activités −30 % dès l'année 3</t>
        </is>
      </c>
      <c r="J372" s="2" t="inlineStr">
        <is>
          <t>Stress tests</t>
        </is>
      </c>
    </row>
    <row r="373">
      <c r="A373" s="2" t="inlineStr">
        <is>
          <t>st_ca30_energie_debut</t>
        </is>
      </c>
      <c r="B373" s="2" t="inlineStr">
        <is>
          <t>Test « ca30 » — energie_debut</t>
        </is>
      </c>
      <c r="C373" s="14" t="n">
        <v>99</v>
      </c>
      <c r="D373" s="14" t="n">
        <v>99</v>
      </c>
      <c r="E373" s="14" t="n">
        <v>99</v>
      </c>
      <c r="F373" s="2" t="inlineStr">
        <is>
          <t>paramètre</t>
        </is>
      </c>
      <c r="G373" s="7" t="inlineStr">
        <is>
          <t>HYPOTHÈSE</t>
        </is>
      </c>
      <c r="H373" s="2" t="inlineStr"/>
      <c r="I373" s="8" t="inlineStr">
        <is>
          <t>Chiffre d'affaires des activités −30 % dès l'année 3</t>
        </is>
      </c>
      <c r="J373" s="2" t="inlineStr">
        <is>
          <t>Stress tests</t>
        </is>
      </c>
    </row>
    <row r="374">
      <c r="A374" s="2" t="inlineStr">
        <is>
          <t>st_ca30_energie_fin</t>
        </is>
      </c>
      <c r="B374" s="2" t="inlineStr">
        <is>
          <t>Test « ca30 » — energie_fin</t>
        </is>
      </c>
      <c r="C374" s="14" t="n">
        <v>0</v>
      </c>
      <c r="D374" s="14" t="n">
        <v>0</v>
      </c>
      <c r="E374" s="14" t="n">
        <v>0</v>
      </c>
      <c r="F374" s="2" t="inlineStr">
        <is>
          <t>paramètre</t>
        </is>
      </c>
      <c r="G374" s="7" t="inlineStr">
        <is>
          <t>HYPOTHÈSE</t>
        </is>
      </c>
      <c r="H374" s="2" t="inlineStr"/>
      <c r="I374" s="8" t="inlineStr">
        <is>
          <t>Chiffre d'affaires des activités −30 % dès l'année 3</t>
        </is>
      </c>
      <c r="J374" s="2" t="inlineStr">
        <is>
          <t>Stress tests</t>
        </is>
      </c>
    </row>
    <row r="375">
      <c r="A375" s="2" t="inlineStr">
        <is>
          <t>st_ca30_energie_mult</t>
        </is>
      </c>
      <c r="B375" s="2" t="inlineStr">
        <is>
          <t>Test « ca30 » — energie_mult</t>
        </is>
      </c>
      <c r="C375" s="14" t="n">
        <v>1</v>
      </c>
      <c r="D375" s="14" t="n">
        <v>1</v>
      </c>
      <c r="E375" s="14" t="n">
        <v>1</v>
      </c>
      <c r="F375" s="2" t="inlineStr">
        <is>
          <t>paramètre</t>
        </is>
      </c>
      <c r="G375" s="7" t="inlineStr">
        <is>
          <t>HYPOTHÈSE</t>
        </is>
      </c>
      <c r="H375" s="2" t="inlineStr"/>
      <c r="I375" s="8" t="inlineStr">
        <is>
          <t>Chiffre d'affaires des activités −30 % dès l'année 3</t>
        </is>
      </c>
      <c r="J375" s="2" t="inlineStr">
        <is>
          <t>Stress tests</t>
        </is>
      </c>
    </row>
    <row r="376">
      <c r="A376" s="2" t="inlineStr">
        <is>
          <t>st_ca30_g_sal_extra</t>
        </is>
      </c>
      <c r="B376" s="2" t="inlineStr">
        <is>
          <t>Test « ca30 » — g_sal_extra</t>
        </is>
      </c>
      <c r="C376" s="14" t="n">
        <v>0</v>
      </c>
      <c r="D376" s="14" t="n">
        <v>0</v>
      </c>
      <c r="E376" s="14" t="n">
        <v>0</v>
      </c>
      <c r="F376" s="2" t="inlineStr">
        <is>
          <t>paramètre</t>
        </is>
      </c>
      <c r="G376" s="7" t="inlineStr">
        <is>
          <t>HYPOTHÈSE</t>
        </is>
      </c>
      <c r="H376" s="2" t="inlineStr"/>
      <c r="I376" s="8" t="inlineStr">
        <is>
          <t>Chiffre d'affaires des activités −30 % dès l'année 3</t>
        </is>
      </c>
      <c r="J376" s="2" t="inlineStr">
        <is>
          <t>Stress tests</t>
        </is>
      </c>
    </row>
    <row r="377">
      <c r="A377" s="2" t="inlineStr">
        <is>
          <t>st_ca30_mult_A</t>
        </is>
      </c>
      <c r="B377" s="2" t="inlineStr">
        <is>
          <t>Test « ca30 » — mult_A</t>
        </is>
      </c>
      <c r="C377" s="14" t="n">
        <v>0.7</v>
      </c>
      <c r="D377" s="14" t="n">
        <v>0.7</v>
      </c>
      <c r="E377" s="14" t="n">
        <v>0.7</v>
      </c>
      <c r="F377" s="2" t="inlineStr">
        <is>
          <t>paramètre</t>
        </is>
      </c>
      <c r="G377" s="7" t="inlineStr">
        <is>
          <t>HYPOTHÈSE</t>
        </is>
      </c>
      <c r="H377" s="2" t="inlineStr"/>
      <c r="I377" s="8" t="inlineStr">
        <is>
          <t>Chiffre d'affaires des activités −30 % dès l'année 3</t>
        </is>
      </c>
      <c r="J377" s="2" t="inlineStr">
        <is>
          <t>Stress tests</t>
        </is>
      </c>
    </row>
    <row r="378">
      <c r="A378" s="2" t="inlineStr">
        <is>
          <t>st_ca30_mult_B</t>
        </is>
      </c>
      <c r="B378" s="2" t="inlineStr">
        <is>
          <t>Test « ca30 » — mult_B</t>
        </is>
      </c>
      <c r="C378" s="14" t="n">
        <v>0.7</v>
      </c>
      <c r="D378" s="14" t="n">
        <v>0.7</v>
      </c>
      <c r="E378" s="14" t="n">
        <v>0.7</v>
      </c>
      <c r="F378" s="2" t="inlineStr">
        <is>
          <t>paramètre</t>
        </is>
      </c>
      <c r="G378" s="7" t="inlineStr">
        <is>
          <t>HYPOTHÈSE</t>
        </is>
      </c>
      <c r="H378" s="2" t="inlineStr"/>
      <c r="I378" s="8" t="inlineStr">
        <is>
          <t>Chiffre d'affaires des activités −30 % dès l'année 3</t>
        </is>
      </c>
      <c r="J378" s="2" t="inlineStr">
        <is>
          <t>Stress tests</t>
        </is>
      </c>
    </row>
    <row r="379">
      <c r="A379" s="2" t="inlineStr">
        <is>
          <t>st_ca30_mult_C</t>
        </is>
      </c>
      <c r="B379" s="2" t="inlineStr">
        <is>
          <t>Test « ca30 » — mult_C</t>
        </is>
      </c>
      <c r="C379" s="14" t="n">
        <v>0.7</v>
      </c>
      <c r="D379" s="14" t="n">
        <v>0.7</v>
      </c>
      <c r="E379" s="14" t="n">
        <v>0.7</v>
      </c>
      <c r="F379" s="2" t="inlineStr">
        <is>
          <t>paramètre</t>
        </is>
      </c>
      <c r="G379" s="7" t="inlineStr">
        <is>
          <t>HYPOTHÈSE</t>
        </is>
      </c>
      <c r="H379" s="2" t="inlineStr"/>
      <c r="I379" s="8" t="inlineStr">
        <is>
          <t>Chiffre d'affaires des activités −30 % dès l'année 3</t>
        </is>
      </c>
      <c r="J379" s="2" t="inlineStr">
        <is>
          <t>Stress tests</t>
        </is>
      </c>
    </row>
    <row r="380">
      <c r="A380" s="2" t="inlineStr">
        <is>
          <t>st_ca30_mult_campagne</t>
        </is>
      </c>
      <c r="B380" s="2" t="inlineStr">
        <is>
          <t>Test « ca30 » — mult_campagne</t>
        </is>
      </c>
      <c r="C380" s="14" t="n">
        <v>1</v>
      </c>
      <c r="D380" s="14" t="n">
        <v>1</v>
      </c>
      <c r="E380" s="14" t="n">
        <v>1</v>
      </c>
      <c r="F380" s="2" t="inlineStr">
        <is>
          <t>paramètre</t>
        </is>
      </c>
      <c r="G380" s="7" t="inlineStr">
        <is>
          <t>HYPOTHÈSE</t>
        </is>
      </c>
      <c r="H380" s="2" t="inlineStr"/>
      <c r="I380" s="8" t="inlineStr">
        <is>
          <t>Chiffre d'affaires des activités −30 % dès l'année 3</t>
        </is>
      </c>
      <c r="J380" s="2" t="inlineStr">
        <is>
          <t>Stress tests</t>
        </is>
      </c>
    </row>
    <row r="381">
      <c r="A381" s="2" t="inlineStr">
        <is>
          <t>st_central_choc_trav_an</t>
        </is>
      </c>
      <c r="B381" s="2" t="inlineStr">
        <is>
          <t>Test « central » — choc_trav_an</t>
        </is>
      </c>
      <c r="C381" s="14" t="n">
        <v>0</v>
      </c>
      <c r="D381" s="14" t="n">
        <v>0</v>
      </c>
      <c r="E381" s="14" t="n">
        <v>0</v>
      </c>
      <c r="F381" s="2" t="inlineStr">
        <is>
          <t>paramètre</t>
        </is>
      </c>
      <c r="G381" s="7" t="inlineStr">
        <is>
          <t>HYPOTHÈSE</t>
        </is>
      </c>
      <c r="H381" s="2" t="inlineStr"/>
      <c r="I381" s="8" t="inlineStr">
        <is>
          <t>Projection centrale</t>
        </is>
      </c>
      <c r="J381" s="2" t="inlineStr">
        <is>
          <t>Stress tests</t>
        </is>
      </c>
    </row>
    <row r="382">
      <c r="A382" s="2" t="inlineStr">
        <is>
          <t>st_central_choc_trav_montant</t>
        </is>
      </c>
      <c r="B382" s="2" t="inlineStr">
        <is>
          <t>Test « central » — choc_trav_montant</t>
        </is>
      </c>
      <c r="C382" s="14" t="n">
        <v>0</v>
      </c>
      <c r="D382" s="14" t="n">
        <v>0</v>
      </c>
      <c r="E382" s="14" t="n">
        <v>0</v>
      </c>
      <c r="F382" s="2" t="inlineStr">
        <is>
          <t>paramètre</t>
        </is>
      </c>
      <c r="G382" s="7" t="inlineStr">
        <is>
          <t>HYPOTHÈSE</t>
        </is>
      </c>
      <c r="H382" s="2" t="inlineStr"/>
      <c r="I382" s="8" t="inlineStr">
        <is>
          <t>Projection centrale</t>
        </is>
      </c>
      <c r="J382" s="2" t="inlineStr">
        <is>
          <t>Stress tests</t>
        </is>
      </c>
    </row>
    <row r="383">
      <c r="A383" s="2" t="inlineStr">
        <is>
          <t>st_central_crise_an</t>
        </is>
      </c>
      <c r="B383" s="2" t="inlineStr">
        <is>
          <t>Test « central » — crise_an</t>
        </is>
      </c>
      <c r="C383" s="14" t="n">
        <v>0</v>
      </c>
      <c r="D383" s="14" t="n">
        <v>0</v>
      </c>
      <c r="E383" s="14" t="n">
        <v>0</v>
      </c>
      <c r="F383" s="2" t="inlineStr">
        <is>
          <t>paramètre</t>
        </is>
      </c>
      <c r="G383" s="7" t="inlineStr">
        <is>
          <t>HYPOTHÈSE</t>
        </is>
      </c>
      <c r="H383" s="2" t="inlineStr"/>
      <c r="I383" s="8" t="inlineStr">
        <is>
          <t>Projection centrale</t>
        </is>
      </c>
      <c r="J383" s="2" t="inlineStr">
        <is>
          <t>Stress tests</t>
        </is>
      </c>
    </row>
    <row r="384">
      <c r="A384" s="2" t="inlineStr">
        <is>
          <t>st_central_debut_mult</t>
        </is>
      </c>
      <c r="B384" s="2" t="inlineStr">
        <is>
          <t>Test « central » — debut_mult</t>
        </is>
      </c>
      <c r="C384" s="14" t="n">
        <v>99</v>
      </c>
      <c r="D384" s="14" t="n">
        <v>99</v>
      </c>
      <c r="E384" s="14" t="n">
        <v>99</v>
      </c>
      <c r="F384" s="2" t="inlineStr">
        <is>
          <t>paramètre</t>
        </is>
      </c>
      <c r="G384" s="7" t="inlineStr">
        <is>
          <t>HYPOTHÈSE</t>
        </is>
      </c>
      <c r="H384" s="2" t="inlineStr"/>
      <c r="I384" s="8" t="inlineStr">
        <is>
          <t>Projection centrale</t>
        </is>
      </c>
      <c r="J384" s="2" t="inlineStr">
        <is>
          <t>Stress tests</t>
        </is>
      </c>
    </row>
    <row r="385">
      <c r="A385" s="2" t="inlineStr">
        <is>
          <t>st_central_div_fin</t>
        </is>
      </c>
      <c r="B385" s="2" t="inlineStr">
        <is>
          <t>Test « central » — div_fin</t>
        </is>
      </c>
      <c r="C385" s="14" t="n">
        <v>99</v>
      </c>
      <c r="D385" s="14" t="n">
        <v>99</v>
      </c>
      <c r="E385" s="14" t="n">
        <v>99</v>
      </c>
      <c r="F385" s="2" t="inlineStr">
        <is>
          <t>paramètre</t>
        </is>
      </c>
      <c r="G385" s="7" t="inlineStr">
        <is>
          <t>HYPOTHÈSE</t>
        </is>
      </c>
      <c r="H385" s="2" t="inlineStr"/>
      <c r="I385" s="8" t="inlineStr">
        <is>
          <t>Projection centrale</t>
        </is>
      </c>
      <c r="J385" s="2" t="inlineStr">
        <is>
          <t>Stress tests</t>
        </is>
      </c>
    </row>
    <row r="386">
      <c r="A386" s="2" t="inlineStr">
        <is>
          <t>st_central_dot_rdt_delta</t>
        </is>
      </c>
      <c r="B386" s="2" t="inlineStr">
        <is>
          <t>Test « central » — dot_rdt_delta</t>
        </is>
      </c>
      <c r="C386" s="14" t="n">
        <v>0</v>
      </c>
      <c r="D386" s="14" t="n">
        <v>0</v>
      </c>
      <c r="E386" s="14" t="n">
        <v>0</v>
      </c>
      <c r="F386" s="2" t="inlineStr">
        <is>
          <t>paramètre</t>
        </is>
      </c>
      <c r="G386" s="7" t="inlineStr">
        <is>
          <t>HYPOTHÈSE</t>
        </is>
      </c>
      <c r="H386" s="2" t="inlineStr"/>
      <c r="I386" s="8" t="inlineStr">
        <is>
          <t>Projection centrale</t>
        </is>
      </c>
      <c r="J386" s="2" t="inlineStr">
        <is>
          <t>Stress tests</t>
        </is>
      </c>
    </row>
    <row r="387">
      <c r="A387" s="2" t="inlineStr">
        <is>
          <t>st_central_energie_debut</t>
        </is>
      </c>
      <c r="B387" s="2" t="inlineStr">
        <is>
          <t>Test « central » — energie_debut</t>
        </is>
      </c>
      <c r="C387" s="14" t="n">
        <v>99</v>
      </c>
      <c r="D387" s="14" t="n">
        <v>99</v>
      </c>
      <c r="E387" s="14" t="n">
        <v>99</v>
      </c>
      <c r="F387" s="2" t="inlineStr">
        <is>
          <t>paramètre</t>
        </is>
      </c>
      <c r="G387" s="7" t="inlineStr">
        <is>
          <t>HYPOTHÈSE</t>
        </is>
      </c>
      <c r="H387" s="2" t="inlineStr"/>
      <c r="I387" s="8" t="inlineStr">
        <is>
          <t>Projection centrale</t>
        </is>
      </c>
      <c r="J387" s="2" t="inlineStr">
        <is>
          <t>Stress tests</t>
        </is>
      </c>
    </row>
    <row r="388">
      <c r="A388" s="2" t="inlineStr">
        <is>
          <t>st_central_energie_fin</t>
        </is>
      </c>
      <c r="B388" s="2" t="inlineStr">
        <is>
          <t>Test « central » — energie_fin</t>
        </is>
      </c>
      <c r="C388" s="14" t="n">
        <v>0</v>
      </c>
      <c r="D388" s="14" t="n">
        <v>0</v>
      </c>
      <c r="E388" s="14" t="n">
        <v>0</v>
      </c>
      <c r="F388" s="2" t="inlineStr">
        <is>
          <t>paramètre</t>
        </is>
      </c>
      <c r="G388" s="7" t="inlineStr">
        <is>
          <t>HYPOTHÈSE</t>
        </is>
      </c>
      <c r="H388" s="2" t="inlineStr"/>
      <c r="I388" s="8" t="inlineStr">
        <is>
          <t>Projection centrale</t>
        </is>
      </c>
      <c r="J388" s="2" t="inlineStr">
        <is>
          <t>Stress tests</t>
        </is>
      </c>
    </row>
    <row r="389">
      <c r="A389" s="2" t="inlineStr">
        <is>
          <t>st_central_energie_mult</t>
        </is>
      </c>
      <c r="B389" s="2" t="inlineStr">
        <is>
          <t>Test « central » — energie_mult</t>
        </is>
      </c>
      <c r="C389" s="14" t="n">
        <v>1</v>
      </c>
      <c r="D389" s="14" t="n">
        <v>1</v>
      </c>
      <c r="E389" s="14" t="n">
        <v>1</v>
      </c>
      <c r="F389" s="2" t="inlineStr">
        <is>
          <t>paramètre</t>
        </is>
      </c>
      <c r="G389" s="7" t="inlineStr">
        <is>
          <t>HYPOTHÈSE</t>
        </is>
      </c>
      <c r="H389" s="2" t="inlineStr"/>
      <c r="I389" s="8" t="inlineStr">
        <is>
          <t>Projection centrale</t>
        </is>
      </c>
      <c r="J389" s="2" t="inlineStr">
        <is>
          <t>Stress tests</t>
        </is>
      </c>
    </row>
    <row r="390">
      <c r="A390" s="2" t="inlineStr">
        <is>
          <t>st_central_g_sal_extra</t>
        </is>
      </c>
      <c r="B390" s="2" t="inlineStr">
        <is>
          <t>Test « central » — g_sal_extra</t>
        </is>
      </c>
      <c r="C390" s="14" t="n">
        <v>0</v>
      </c>
      <c r="D390" s="14" t="n">
        <v>0</v>
      </c>
      <c r="E390" s="14" t="n">
        <v>0</v>
      </c>
      <c r="F390" s="2" t="inlineStr">
        <is>
          <t>paramètre</t>
        </is>
      </c>
      <c r="G390" s="7" t="inlineStr">
        <is>
          <t>HYPOTHÈSE</t>
        </is>
      </c>
      <c r="H390" s="2" t="inlineStr"/>
      <c r="I390" s="8" t="inlineStr">
        <is>
          <t>Projection centrale</t>
        </is>
      </c>
      <c r="J390" s="2" t="inlineStr">
        <is>
          <t>Stress tests</t>
        </is>
      </c>
    </row>
    <row r="391">
      <c r="A391" s="2" t="inlineStr">
        <is>
          <t>st_central_mult_A</t>
        </is>
      </c>
      <c r="B391" s="2" t="inlineStr">
        <is>
          <t>Test « central » — mult_A</t>
        </is>
      </c>
      <c r="C391" s="14" t="n">
        <v>1</v>
      </c>
      <c r="D391" s="14" t="n">
        <v>1</v>
      </c>
      <c r="E391" s="14" t="n">
        <v>1</v>
      </c>
      <c r="F391" s="2" t="inlineStr">
        <is>
          <t>paramètre</t>
        </is>
      </c>
      <c r="G391" s="7" t="inlineStr">
        <is>
          <t>HYPOTHÈSE</t>
        </is>
      </c>
      <c r="H391" s="2" t="inlineStr"/>
      <c r="I391" s="8" t="inlineStr">
        <is>
          <t>Projection centrale</t>
        </is>
      </c>
      <c r="J391" s="2" t="inlineStr">
        <is>
          <t>Stress tests</t>
        </is>
      </c>
    </row>
    <row r="392">
      <c r="A392" s="2" t="inlineStr">
        <is>
          <t>st_central_mult_B</t>
        </is>
      </c>
      <c r="B392" s="2" t="inlineStr">
        <is>
          <t>Test « central » — mult_B</t>
        </is>
      </c>
      <c r="C392" s="14" t="n">
        <v>1</v>
      </c>
      <c r="D392" s="14" t="n">
        <v>1</v>
      </c>
      <c r="E392" s="14" t="n">
        <v>1</v>
      </c>
      <c r="F392" s="2" t="inlineStr">
        <is>
          <t>paramètre</t>
        </is>
      </c>
      <c r="G392" s="7" t="inlineStr">
        <is>
          <t>HYPOTHÈSE</t>
        </is>
      </c>
      <c r="H392" s="2" t="inlineStr"/>
      <c r="I392" s="8" t="inlineStr">
        <is>
          <t>Projection centrale</t>
        </is>
      </c>
      <c r="J392" s="2" t="inlineStr">
        <is>
          <t>Stress tests</t>
        </is>
      </c>
    </row>
    <row r="393">
      <c r="A393" s="2" t="inlineStr">
        <is>
          <t>st_central_mult_C</t>
        </is>
      </c>
      <c r="B393" s="2" t="inlineStr">
        <is>
          <t>Test « central » — mult_C</t>
        </is>
      </c>
      <c r="C393" s="14" t="n">
        <v>1</v>
      </c>
      <c r="D393" s="14" t="n">
        <v>1</v>
      </c>
      <c r="E393" s="14" t="n">
        <v>1</v>
      </c>
      <c r="F393" s="2" t="inlineStr">
        <is>
          <t>paramètre</t>
        </is>
      </c>
      <c r="G393" s="7" t="inlineStr">
        <is>
          <t>HYPOTHÈSE</t>
        </is>
      </c>
      <c r="H393" s="2" t="inlineStr"/>
      <c r="I393" s="8" t="inlineStr">
        <is>
          <t>Projection centrale</t>
        </is>
      </c>
      <c r="J393" s="2" t="inlineStr">
        <is>
          <t>Stress tests</t>
        </is>
      </c>
    </row>
    <row r="394">
      <c r="A394" s="2" t="inlineStr">
        <is>
          <t>st_central_mult_campagne</t>
        </is>
      </c>
      <c r="B394" s="2" t="inlineStr">
        <is>
          <t>Test « central » — mult_campagne</t>
        </is>
      </c>
      <c r="C394" s="14" t="n">
        <v>1</v>
      </c>
      <c r="D394" s="14" t="n">
        <v>1</v>
      </c>
      <c r="E394" s="14" t="n">
        <v>1</v>
      </c>
      <c r="F394" s="2" t="inlineStr">
        <is>
          <t>paramètre</t>
        </is>
      </c>
      <c r="G394" s="7" t="inlineStr">
        <is>
          <t>HYPOTHÈSE</t>
        </is>
      </c>
      <c r="H394" s="2" t="inlineStr"/>
      <c r="I394" s="8" t="inlineStr">
        <is>
          <t>Projection centrale</t>
        </is>
      </c>
      <c r="J394" s="2" t="inlineStr">
        <is>
          <t>Stress tests</t>
        </is>
      </c>
    </row>
    <row r="395">
      <c r="A395" s="2" t="inlineStr">
        <is>
          <t>st_crise_choc_trav_an</t>
        </is>
      </c>
      <c r="B395" s="2" t="inlineStr">
        <is>
          <t>Test « crise » — choc_trav_an</t>
        </is>
      </c>
      <c r="C395" s="14" t="n">
        <v>0</v>
      </c>
      <c r="D395" s="14" t="n">
        <v>0</v>
      </c>
      <c r="E395" s="14" t="n">
        <v>0</v>
      </c>
      <c r="F395" s="2" t="inlineStr">
        <is>
          <t>paramètre</t>
        </is>
      </c>
      <c r="G395" s="7" t="inlineStr">
        <is>
          <t>HYPOTHÈSE</t>
        </is>
      </c>
      <c r="H395" s="2" t="inlineStr"/>
      <c r="I395" s="8" t="inlineStr">
        <is>
          <t>Crise de type 2020 en année 5 (C −80 %, B −15 %, A −5 % ; dotation −25 % ; dividendes −50 %), reprise partielle en année 6</t>
        </is>
      </c>
      <c r="J395" s="2" t="inlineStr">
        <is>
          <t>Stress tests</t>
        </is>
      </c>
    </row>
    <row r="396">
      <c r="A396" s="2" t="inlineStr">
        <is>
          <t>st_crise_choc_trav_montant</t>
        </is>
      </c>
      <c r="B396" s="2" t="inlineStr">
        <is>
          <t>Test « crise » — choc_trav_montant</t>
        </is>
      </c>
      <c r="C396" s="14" t="n">
        <v>0</v>
      </c>
      <c r="D396" s="14" t="n">
        <v>0</v>
      </c>
      <c r="E396" s="14" t="n">
        <v>0</v>
      </c>
      <c r="F396" s="2" t="inlineStr">
        <is>
          <t>paramètre</t>
        </is>
      </c>
      <c r="G396" s="7" t="inlineStr">
        <is>
          <t>HYPOTHÈSE</t>
        </is>
      </c>
      <c r="H396" s="2" t="inlineStr"/>
      <c r="I396" s="8" t="inlineStr">
        <is>
          <t>Crise de type 2020 en année 5 (C −80 %, B −15 %, A −5 % ; dotation −25 % ; dividendes −50 %), reprise partielle en année 6</t>
        </is>
      </c>
      <c r="J396" s="2" t="inlineStr">
        <is>
          <t>Stress tests</t>
        </is>
      </c>
    </row>
    <row r="397">
      <c r="A397" s="2" t="inlineStr">
        <is>
          <t>st_crise_crise_an</t>
        </is>
      </c>
      <c r="B397" s="2" t="inlineStr">
        <is>
          <t>Test « crise » — crise_an</t>
        </is>
      </c>
      <c r="C397" s="14" t="n">
        <v>5</v>
      </c>
      <c r="D397" s="14" t="n">
        <v>5</v>
      </c>
      <c r="E397" s="14" t="n">
        <v>5</v>
      </c>
      <c r="F397" s="2" t="inlineStr">
        <is>
          <t>paramètre</t>
        </is>
      </c>
      <c r="G397" s="7" t="inlineStr">
        <is>
          <t>HYPOTHÈSE</t>
        </is>
      </c>
      <c r="H397" s="2" t="inlineStr"/>
      <c r="I397" s="8" t="inlineStr">
        <is>
          <t>Crise de type 2020 en année 5 (C −80 %, B −15 %, A −5 % ; dotation −25 % ; dividendes −50 %), reprise partielle en année 6</t>
        </is>
      </c>
      <c r="J397" s="2" t="inlineStr">
        <is>
          <t>Stress tests</t>
        </is>
      </c>
    </row>
    <row r="398">
      <c r="A398" s="2" t="inlineStr">
        <is>
          <t>st_crise_debut_mult</t>
        </is>
      </c>
      <c r="B398" s="2" t="inlineStr">
        <is>
          <t>Test « crise » — debut_mult</t>
        </is>
      </c>
      <c r="C398" s="14" t="n">
        <v>99</v>
      </c>
      <c r="D398" s="14" t="n">
        <v>99</v>
      </c>
      <c r="E398" s="14" t="n">
        <v>99</v>
      </c>
      <c r="F398" s="2" t="inlineStr">
        <is>
          <t>paramètre</t>
        </is>
      </c>
      <c r="G398" s="7" t="inlineStr">
        <is>
          <t>HYPOTHÈSE</t>
        </is>
      </c>
      <c r="H398" s="2" t="inlineStr"/>
      <c r="I398" s="8" t="inlineStr">
        <is>
          <t>Crise de type 2020 en année 5 (C −80 %, B −15 %, A −5 % ; dotation −25 % ; dividendes −50 %), reprise partielle en année 6</t>
        </is>
      </c>
      <c r="J398" s="2" t="inlineStr">
        <is>
          <t>Stress tests</t>
        </is>
      </c>
    </row>
    <row r="399">
      <c r="A399" s="2" t="inlineStr">
        <is>
          <t>st_crise_div_fin</t>
        </is>
      </c>
      <c r="B399" s="2" t="inlineStr">
        <is>
          <t>Test « crise » — div_fin</t>
        </is>
      </c>
      <c r="C399" s="14" t="n">
        <v>99</v>
      </c>
      <c r="D399" s="14" t="n">
        <v>99</v>
      </c>
      <c r="E399" s="14" t="n">
        <v>99</v>
      </c>
      <c r="F399" s="2" t="inlineStr">
        <is>
          <t>paramètre</t>
        </is>
      </c>
      <c r="G399" s="7" t="inlineStr">
        <is>
          <t>HYPOTHÈSE</t>
        </is>
      </c>
      <c r="H399" s="2" t="inlineStr"/>
      <c r="I399" s="8" t="inlineStr">
        <is>
          <t>Crise de type 2020 en année 5 (C −80 %, B −15 %, A −5 % ; dotation −25 % ; dividendes −50 %), reprise partielle en année 6</t>
        </is>
      </c>
      <c r="J399" s="2" t="inlineStr">
        <is>
          <t>Stress tests</t>
        </is>
      </c>
    </row>
    <row r="400">
      <c r="A400" s="2" t="inlineStr">
        <is>
          <t>st_crise_dot_rdt_delta</t>
        </is>
      </c>
      <c r="B400" s="2" t="inlineStr">
        <is>
          <t>Test « crise » — dot_rdt_delta</t>
        </is>
      </c>
      <c r="C400" s="14" t="n">
        <v>0</v>
      </c>
      <c r="D400" s="14" t="n">
        <v>0</v>
      </c>
      <c r="E400" s="14" t="n">
        <v>0</v>
      </c>
      <c r="F400" s="2" t="inlineStr">
        <is>
          <t>paramètre</t>
        </is>
      </c>
      <c r="G400" s="7" t="inlineStr">
        <is>
          <t>HYPOTHÈSE</t>
        </is>
      </c>
      <c r="H400" s="2" t="inlineStr"/>
      <c r="I400" s="8" t="inlineStr">
        <is>
          <t>Crise de type 2020 en année 5 (C −80 %, B −15 %, A −5 % ; dotation −25 % ; dividendes −50 %), reprise partielle en année 6</t>
        </is>
      </c>
      <c r="J400" s="2" t="inlineStr">
        <is>
          <t>Stress tests</t>
        </is>
      </c>
    </row>
    <row r="401">
      <c r="A401" s="2" t="inlineStr">
        <is>
          <t>st_crise_energie_debut</t>
        </is>
      </c>
      <c r="B401" s="2" t="inlineStr">
        <is>
          <t>Test « crise » — energie_debut</t>
        </is>
      </c>
      <c r="C401" s="14" t="n">
        <v>99</v>
      </c>
      <c r="D401" s="14" t="n">
        <v>99</v>
      </c>
      <c r="E401" s="14" t="n">
        <v>99</v>
      </c>
      <c r="F401" s="2" t="inlineStr">
        <is>
          <t>paramètre</t>
        </is>
      </c>
      <c r="G401" s="7" t="inlineStr">
        <is>
          <t>HYPOTHÈSE</t>
        </is>
      </c>
      <c r="H401" s="2" t="inlineStr"/>
      <c r="I401" s="8" t="inlineStr">
        <is>
          <t>Crise de type 2020 en année 5 (C −80 %, B −15 %, A −5 % ; dotation −25 % ; dividendes −50 %), reprise partielle en année 6</t>
        </is>
      </c>
      <c r="J401" s="2" t="inlineStr">
        <is>
          <t>Stress tests</t>
        </is>
      </c>
    </row>
    <row r="402">
      <c r="A402" s="2" t="inlineStr">
        <is>
          <t>st_crise_energie_fin</t>
        </is>
      </c>
      <c r="B402" s="2" t="inlineStr">
        <is>
          <t>Test « crise » — energie_fin</t>
        </is>
      </c>
      <c r="C402" s="14" t="n">
        <v>0</v>
      </c>
      <c r="D402" s="14" t="n">
        <v>0</v>
      </c>
      <c r="E402" s="14" t="n">
        <v>0</v>
      </c>
      <c r="F402" s="2" t="inlineStr">
        <is>
          <t>paramètre</t>
        </is>
      </c>
      <c r="G402" s="7" t="inlineStr">
        <is>
          <t>HYPOTHÈSE</t>
        </is>
      </c>
      <c r="H402" s="2" t="inlineStr"/>
      <c r="I402" s="8" t="inlineStr">
        <is>
          <t>Crise de type 2020 en année 5 (C −80 %, B −15 %, A −5 % ; dotation −25 % ; dividendes −50 %), reprise partielle en année 6</t>
        </is>
      </c>
      <c r="J402" s="2" t="inlineStr">
        <is>
          <t>Stress tests</t>
        </is>
      </c>
    </row>
    <row r="403">
      <c r="A403" s="2" t="inlineStr">
        <is>
          <t>st_crise_energie_mult</t>
        </is>
      </c>
      <c r="B403" s="2" t="inlineStr">
        <is>
          <t>Test « crise » — energie_mult</t>
        </is>
      </c>
      <c r="C403" s="14" t="n">
        <v>1</v>
      </c>
      <c r="D403" s="14" t="n">
        <v>1</v>
      </c>
      <c r="E403" s="14" t="n">
        <v>1</v>
      </c>
      <c r="F403" s="2" t="inlineStr">
        <is>
          <t>paramètre</t>
        </is>
      </c>
      <c r="G403" s="7" t="inlineStr">
        <is>
          <t>HYPOTHÈSE</t>
        </is>
      </c>
      <c r="H403" s="2" t="inlineStr"/>
      <c r="I403" s="8" t="inlineStr">
        <is>
          <t>Crise de type 2020 en année 5 (C −80 %, B −15 %, A −5 % ; dotation −25 % ; dividendes −50 %), reprise partielle en année 6</t>
        </is>
      </c>
      <c r="J403" s="2" t="inlineStr">
        <is>
          <t>Stress tests</t>
        </is>
      </c>
    </row>
    <row r="404">
      <c r="A404" s="2" t="inlineStr">
        <is>
          <t>st_crise_g_sal_extra</t>
        </is>
      </c>
      <c r="B404" s="2" t="inlineStr">
        <is>
          <t>Test « crise » — g_sal_extra</t>
        </is>
      </c>
      <c r="C404" s="14" t="n">
        <v>0</v>
      </c>
      <c r="D404" s="14" t="n">
        <v>0</v>
      </c>
      <c r="E404" s="14" t="n">
        <v>0</v>
      </c>
      <c r="F404" s="2" t="inlineStr">
        <is>
          <t>paramètre</t>
        </is>
      </c>
      <c r="G404" s="7" t="inlineStr">
        <is>
          <t>HYPOTHÈSE</t>
        </is>
      </c>
      <c r="H404" s="2" t="inlineStr"/>
      <c r="I404" s="8" t="inlineStr">
        <is>
          <t>Crise de type 2020 en année 5 (C −80 %, B −15 %, A −5 % ; dotation −25 % ; dividendes −50 %), reprise partielle en année 6</t>
        </is>
      </c>
      <c r="J404" s="2" t="inlineStr">
        <is>
          <t>Stress tests</t>
        </is>
      </c>
    </row>
    <row r="405">
      <c r="A405" s="2" t="inlineStr">
        <is>
          <t>st_crise_mult_A</t>
        </is>
      </c>
      <c r="B405" s="2" t="inlineStr">
        <is>
          <t>Test « crise » — mult_A</t>
        </is>
      </c>
      <c r="C405" s="14" t="n">
        <v>1</v>
      </c>
      <c r="D405" s="14" t="n">
        <v>1</v>
      </c>
      <c r="E405" s="14" t="n">
        <v>1</v>
      </c>
      <c r="F405" s="2" t="inlineStr">
        <is>
          <t>paramètre</t>
        </is>
      </c>
      <c r="G405" s="7" t="inlineStr">
        <is>
          <t>HYPOTHÈSE</t>
        </is>
      </c>
      <c r="H405" s="2" t="inlineStr"/>
      <c r="I405" s="8" t="inlineStr">
        <is>
          <t>Crise de type 2020 en année 5 (C −80 %, B −15 %, A −5 % ; dotation −25 % ; dividendes −50 %), reprise partielle en année 6</t>
        </is>
      </c>
      <c r="J405" s="2" t="inlineStr">
        <is>
          <t>Stress tests</t>
        </is>
      </c>
    </row>
    <row r="406">
      <c r="A406" s="2" t="inlineStr">
        <is>
          <t>st_crise_mult_B</t>
        </is>
      </c>
      <c r="B406" s="2" t="inlineStr">
        <is>
          <t>Test « crise » — mult_B</t>
        </is>
      </c>
      <c r="C406" s="14" t="n">
        <v>1</v>
      </c>
      <c r="D406" s="14" t="n">
        <v>1</v>
      </c>
      <c r="E406" s="14" t="n">
        <v>1</v>
      </c>
      <c r="F406" s="2" t="inlineStr">
        <is>
          <t>paramètre</t>
        </is>
      </c>
      <c r="G406" s="7" t="inlineStr">
        <is>
          <t>HYPOTHÈSE</t>
        </is>
      </c>
      <c r="H406" s="2" t="inlineStr"/>
      <c r="I406" s="8" t="inlineStr">
        <is>
          <t>Crise de type 2020 en année 5 (C −80 %, B −15 %, A −5 % ; dotation −25 % ; dividendes −50 %), reprise partielle en année 6</t>
        </is>
      </c>
      <c r="J406" s="2" t="inlineStr">
        <is>
          <t>Stress tests</t>
        </is>
      </c>
    </row>
    <row r="407">
      <c r="A407" s="2" t="inlineStr">
        <is>
          <t>st_crise_mult_C</t>
        </is>
      </c>
      <c r="B407" s="2" t="inlineStr">
        <is>
          <t>Test « crise » — mult_C</t>
        </is>
      </c>
      <c r="C407" s="14" t="n">
        <v>1</v>
      </c>
      <c r="D407" s="14" t="n">
        <v>1</v>
      </c>
      <c r="E407" s="14" t="n">
        <v>1</v>
      </c>
      <c r="F407" s="2" t="inlineStr">
        <is>
          <t>paramètre</t>
        </is>
      </c>
      <c r="G407" s="7" t="inlineStr">
        <is>
          <t>HYPOTHÈSE</t>
        </is>
      </c>
      <c r="H407" s="2" t="inlineStr"/>
      <c r="I407" s="8" t="inlineStr">
        <is>
          <t>Crise de type 2020 en année 5 (C −80 %, B −15 %, A −5 % ; dotation −25 % ; dividendes −50 %), reprise partielle en année 6</t>
        </is>
      </c>
      <c r="J407" s="2" t="inlineStr">
        <is>
          <t>Stress tests</t>
        </is>
      </c>
    </row>
    <row r="408">
      <c r="A408" s="2" t="inlineStr">
        <is>
          <t>st_crise_mult_campagne</t>
        </is>
      </c>
      <c r="B408" s="2" t="inlineStr">
        <is>
          <t>Test « crise » — mult_campagne</t>
        </is>
      </c>
      <c r="C408" s="14" t="n">
        <v>1</v>
      </c>
      <c r="D408" s="14" t="n">
        <v>1</v>
      </c>
      <c r="E408" s="14" t="n">
        <v>1</v>
      </c>
      <c r="F408" s="2" t="inlineStr">
        <is>
          <t>paramètre</t>
        </is>
      </c>
      <c r="G408" s="7" t="inlineStr">
        <is>
          <t>HYPOTHÈSE</t>
        </is>
      </c>
      <c r="H408" s="2" t="inlineStr"/>
      <c r="I408" s="8" t="inlineStr">
        <is>
          <t>Crise de type 2020 en année 5 (C −80 %, B −15 %, A −5 % ; dotation −25 % ; dividendes −50 %), reprise partielle en année 6</t>
        </is>
      </c>
      <c r="J408" s="2" t="inlineStr">
        <is>
          <t>Stress tests</t>
        </is>
      </c>
    </row>
    <row r="409">
      <c r="A409" s="2" t="inlineStr">
        <is>
          <t>st_cumul_choc_trav_an</t>
        </is>
      </c>
      <c r="B409" s="2" t="inlineStr">
        <is>
          <t>Test « cumul » — choc_trav_an</t>
        </is>
      </c>
      <c r="C409" s="14" t="n">
        <v>6</v>
      </c>
      <c r="D409" s="14" t="n">
        <v>6</v>
      </c>
      <c r="E409" s="14" t="n">
        <v>6</v>
      </c>
      <c r="F409" s="2" t="inlineStr">
        <is>
          <t>paramètre</t>
        </is>
      </c>
      <c r="G409" s="7" t="inlineStr">
        <is>
          <t>HYPOTHÈSE</t>
        </is>
      </c>
      <c r="H409" s="2" t="inlineStr"/>
      <c r="I409" s="8" t="inlineStr">
        <is>
          <t>Cumul défavorable : activités −30 %, crise en année 5, sinistre de 600 000 € en année 6, salaires +1,5 % réel</t>
        </is>
      </c>
      <c r="J409" s="2" t="inlineStr">
        <is>
          <t>Stress tests</t>
        </is>
      </c>
    </row>
    <row r="410">
      <c r="A410" s="2" t="inlineStr">
        <is>
          <t>st_cumul_choc_trav_montant</t>
        </is>
      </c>
      <c r="B410" s="2" t="inlineStr">
        <is>
          <t>Test « cumul » — choc_trav_montant</t>
        </is>
      </c>
      <c r="C410" s="14" t="n">
        <v>600000</v>
      </c>
      <c r="D410" s="14" t="n">
        <v>600000</v>
      </c>
      <c r="E410" s="14" t="n">
        <v>600000</v>
      </c>
      <c r="F410" s="2" t="inlineStr">
        <is>
          <t>paramètre</t>
        </is>
      </c>
      <c r="G410" s="7" t="inlineStr">
        <is>
          <t>HYPOTHÈSE</t>
        </is>
      </c>
      <c r="H410" s="2" t="inlineStr"/>
      <c r="I410" s="8" t="inlineStr">
        <is>
          <t>Cumul défavorable : activités −30 %, crise en année 5, sinistre de 600 000 € en année 6, salaires +1,5 % réel</t>
        </is>
      </c>
      <c r="J410" s="2" t="inlineStr">
        <is>
          <t>Stress tests</t>
        </is>
      </c>
    </row>
    <row r="411">
      <c r="A411" s="2" t="inlineStr">
        <is>
          <t>st_cumul_crise_an</t>
        </is>
      </c>
      <c r="B411" s="2" t="inlineStr">
        <is>
          <t>Test « cumul » — crise_an</t>
        </is>
      </c>
      <c r="C411" s="14" t="n">
        <v>5</v>
      </c>
      <c r="D411" s="14" t="n">
        <v>5</v>
      </c>
      <c r="E411" s="14" t="n">
        <v>5</v>
      </c>
      <c r="F411" s="2" t="inlineStr">
        <is>
          <t>paramètre</t>
        </is>
      </c>
      <c r="G411" s="7" t="inlineStr">
        <is>
          <t>HYPOTHÈSE</t>
        </is>
      </c>
      <c r="H411" s="2" t="inlineStr"/>
      <c r="I411" s="8" t="inlineStr">
        <is>
          <t>Cumul défavorable : activités −30 %, crise en année 5, sinistre de 600 000 € en année 6, salaires +1,5 % réel</t>
        </is>
      </c>
      <c r="J411" s="2" t="inlineStr">
        <is>
          <t>Stress tests</t>
        </is>
      </c>
    </row>
    <row r="412">
      <c r="A412" s="2" t="inlineStr">
        <is>
          <t>st_cumul_debut_mult</t>
        </is>
      </c>
      <c r="B412" s="2" t="inlineStr">
        <is>
          <t>Test « cumul » — debut_mult</t>
        </is>
      </c>
      <c r="C412" s="14" t="n">
        <v>3</v>
      </c>
      <c r="D412" s="14" t="n">
        <v>3</v>
      </c>
      <c r="E412" s="14" t="n">
        <v>3</v>
      </c>
      <c r="F412" s="2" t="inlineStr">
        <is>
          <t>paramètre</t>
        </is>
      </c>
      <c r="G412" s="7" t="inlineStr">
        <is>
          <t>HYPOTHÈSE</t>
        </is>
      </c>
      <c r="H412" s="2" t="inlineStr"/>
      <c r="I412" s="8" t="inlineStr">
        <is>
          <t>Cumul défavorable : activités −30 %, crise en année 5, sinistre de 600 000 € en année 6, salaires +1,5 % réel</t>
        </is>
      </c>
      <c r="J412" s="2" t="inlineStr">
        <is>
          <t>Stress tests</t>
        </is>
      </c>
    </row>
    <row r="413">
      <c r="A413" s="2" t="inlineStr">
        <is>
          <t>st_cumul_div_fin</t>
        </is>
      </c>
      <c r="B413" s="2" t="inlineStr">
        <is>
          <t>Test « cumul » — div_fin</t>
        </is>
      </c>
      <c r="C413" s="14" t="n">
        <v>99</v>
      </c>
      <c r="D413" s="14" t="n">
        <v>99</v>
      </c>
      <c r="E413" s="14" t="n">
        <v>99</v>
      </c>
      <c r="F413" s="2" t="inlineStr">
        <is>
          <t>paramètre</t>
        </is>
      </c>
      <c r="G413" s="7" t="inlineStr">
        <is>
          <t>HYPOTHÈSE</t>
        </is>
      </c>
      <c r="H413" s="2" t="inlineStr"/>
      <c r="I413" s="8" t="inlineStr">
        <is>
          <t>Cumul défavorable : activités −30 %, crise en année 5, sinistre de 600 000 € en année 6, salaires +1,5 % réel</t>
        </is>
      </c>
      <c r="J413" s="2" t="inlineStr">
        <is>
          <t>Stress tests</t>
        </is>
      </c>
    </row>
    <row r="414">
      <c r="A414" s="2" t="inlineStr">
        <is>
          <t>st_cumul_dot_rdt_delta</t>
        </is>
      </c>
      <c r="B414" s="2" t="inlineStr">
        <is>
          <t>Test « cumul » — dot_rdt_delta</t>
        </is>
      </c>
      <c r="C414" s="14" t="n">
        <v>0</v>
      </c>
      <c r="D414" s="14" t="n">
        <v>0</v>
      </c>
      <c r="E414" s="14" t="n">
        <v>0</v>
      </c>
      <c r="F414" s="2" t="inlineStr">
        <is>
          <t>paramètre</t>
        </is>
      </c>
      <c r="G414" s="7" t="inlineStr">
        <is>
          <t>HYPOTHÈSE</t>
        </is>
      </c>
      <c r="H414" s="2" t="inlineStr"/>
      <c r="I414" s="8" t="inlineStr">
        <is>
          <t>Cumul défavorable : activités −30 %, crise en année 5, sinistre de 600 000 € en année 6, salaires +1,5 % réel</t>
        </is>
      </c>
      <c r="J414" s="2" t="inlineStr">
        <is>
          <t>Stress tests</t>
        </is>
      </c>
    </row>
    <row r="415">
      <c r="A415" s="2" t="inlineStr">
        <is>
          <t>st_cumul_energie_debut</t>
        </is>
      </c>
      <c r="B415" s="2" t="inlineStr">
        <is>
          <t>Test « cumul » — energie_debut</t>
        </is>
      </c>
      <c r="C415" s="14" t="n">
        <v>99</v>
      </c>
      <c r="D415" s="14" t="n">
        <v>99</v>
      </c>
      <c r="E415" s="14" t="n">
        <v>99</v>
      </c>
      <c r="F415" s="2" t="inlineStr">
        <is>
          <t>paramètre</t>
        </is>
      </c>
      <c r="G415" s="7" t="inlineStr">
        <is>
          <t>HYPOTHÈSE</t>
        </is>
      </c>
      <c r="H415" s="2" t="inlineStr"/>
      <c r="I415" s="8" t="inlineStr">
        <is>
          <t>Cumul défavorable : activités −30 %, crise en année 5, sinistre de 600 000 € en année 6, salaires +1,5 % réel</t>
        </is>
      </c>
      <c r="J415" s="2" t="inlineStr">
        <is>
          <t>Stress tests</t>
        </is>
      </c>
    </row>
    <row r="416">
      <c r="A416" s="2" t="inlineStr">
        <is>
          <t>st_cumul_energie_fin</t>
        </is>
      </c>
      <c r="B416" s="2" t="inlineStr">
        <is>
          <t>Test « cumul » — energie_fin</t>
        </is>
      </c>
      <c r="C416" s="14" t="n">
        <v>0</v>
      </c>
      <c r="D416" s="14" t="n">
        <v>0</v>
      </c>
      <c r="E416" s="14" t="n">
        <v>0</v>
      </c>
      <c r="F416" s="2" t="inlineStr">
        <is>
          <t>paramètre</t>
        </is>
      </c>
      <c r="G416" s="7" t="inlineStr">
        <is>
          <t>HYPOTHÈSE</t>
        </is>
      </c>
      <c r="H416" s="2" t="inlineStr"/>
      <c r="I416" s="8" t="inlineStr">
        <is>
          <t>Cumul défavorable : activités −30 %, crise en année 5, sinistre de 600 000 € en année 6, salaires +1,5 % réel</t>
        </is>
      </c>
      <c r="J416" s="2" t="inlineStr">
        <is>
          <t>Stress tests</t>
        </is>
      </c>
    </row>
    <row r="417">
      <c r="A417" s="2" t="inlineStr">
        <is>
          <t>st_cumul_energie_mult</t>
        </is>
      </c>
      <c r="B417" s="2" t="inlineStr">
        <is>
          <t>Test « cumul » — energie_mult</t>
        </is>
      </c>
      <c r="C417" s="14" t="n">
        <v>1</v>
      </c>
      <c r="D417" s="14" t="n">
        <v>1</v>
      </c>
      <c r="E417" s="14" t="n">
        <v>1</v>
      </c>
      <c r="F417" s="2" t="inlineStr">
        <is>
          <t>paramètre</t>
        </is>
      </c>
      <c r="G417" s="7" t="inlineStr">
        <is>
          <t>HYPOTHÈSE</t>
        </is>
      </c>
      <c r="H417" s="2" t="inlineStr"/>
      <c r="I417" s="8" t="inlineStr">
        <is>
          <t>Cumul défavorable : activités −30 %, crise en année 5, sinistre de 600 000 € en année 6, salaires +1,5 % réel</t>
        </is>
      </c>
      <c r="J417" s="2" t="inlineStr">
        <is>
          <t>Stress tests</t>
        </is>
      </c>
    </row>
    <row r="418">
      <c r="A418" s="2" t="inlineStr">
        <is>
          <t>st_cumul_g_sal_extra</t>
        </is>
      </c>
      <c r="B418" s="2" t="inlineStr">
        <is>
          <t>Test « cumul » — g_sal_extra</t>
        </is>
      </c>
      <c r="C418" s="14" t="n">
        <v>0.01</v>
      </c>
      <c r="D418" s="14" t="n">
        <v>0.01</v>
      </c>
      <c r="E418" s="14" t="n">
        <v>0.01</v>
      </c>
      <c r="F418" s="2" t="inlineStr">
        <is>
          <t>paramètre</t>
        </is>
      </c>
      <c r="G418" s="7" t="inlineStr">
        <is>
          <t>HYPOTHÈSE</t>
        </is>
      </c>
      <c r="H418" s="2" t="inlineStr"/>
      <c r="I418" s="8" t="inlineStr">
        <is>
          <t>Cumul défavorable : activités −30 %, crise en année 5, sinistre de 600 000 € en année 6, salaires +1,5 % réel</t>
        </is>
      </c>
      <c r="J418" s="2" t="inlineStr">
        <is>
          <t>Stress tests</t>
        </is>
      </c>
    </row>
    <row r="419">
      <c r="A419" s="2" t="inlineStr">
        <is>
          <t>st_cumul_mult_A</t>
        </is>
      </c>
      <c r="B419" s="2" t="inlineStr">
        <is>
          <t>Test « cumul » — mult_A</t>
        </is>
      </c>
      <c r="C419" s="14" t="n">
        <v>0.7</v>
      </c>
      <c r="D419" s="14" t="n">
        <v>0.7</v>
      </c>
      <c r="E419" s="14" t="n">
        <v>0.7</v>
      </c>
      <c r="F419" s="2" t="inlineStr">
        <is>
          <t>paramètre</t>
        </is>
      </c>
      <c r="G419" s="7" t="inlineStr">
        <is>
          <t>HYPOTHÈSE</t>
        </is>
      </c>
      <c r="H419" s="2" t="inlineStr"/>
      <c r="I419" s="8" t="inlineStr">
        <is>
          <t>Cumul défavorable : activités −30 %, crise en année 5, sinistre de 600 000 € en année 6, salaires +1,5 % réel</t>
        </is>
      </c>
      <c r="J419" s="2" t="inlineStr">
        <is>
          <t>Stress tests</t>
        </is>
      </c>
    </row>
    <row r="420">
      <c r="A420" s="2" t="inlineStr">
        <is>
          <t>st_cumul_mult_B</t>
        </is>
      </c>
      <c r="B420" s="2" t="inlineStr">
        <is>
          <t>Test « cumul » — mult_B</t>
        </is>
      </c>
      <c r="C420" s="14" t="n">
        <v>0.7</v>
      </c>
      <c r="D420" s="14" t="n">
        <v>0.7</v>
      </c>
      <c r="E420" s="14" t="n">
        <v>0.7</v>
      </c>
      <c r="F420" s="2" t="inlineStr">
        <is>
          <t>paramètre</t>
        </is>
      </c>
      <c r="G420" s="7" t="inlineStr">
        <is>
          <t>HYPOTHÈSE</t>
        </is>
      </c>
      <c r="H420" s="2" t="inlineStr"/>
      <c r="I420" s="8" t="inlineStr">
        <is>
          <t>Cumul défavorable : activités −30 %, crise en année 5, sinistre de 600 000 € en année 6, salaires +1,5 % réel</t>
        </is>
      </c>
      <c r="J420" s="2" t="inlineStr">
        <is>
          <t>Stress tests</t>
        </is>
      </c>
    </row>
    <row r="421">
      <c r="A421" s="2" t="inlineStr">
        <is>
          <t>st_cumul_mult_C</t>
        </is>
      </c>
      <c r="B421" s="2" t="inlineStr">
        <is>
          <t>Test « cumul » — mult_C</t>
        </is>
      </c>
      <c r="C421" s="14" t="n">
        <v>0.7</v>
      </c>
      <c r="D421" s="14" t="n">
        <v>0.7</v>
      </c>
      <c r="E421" s="14" t="n">
        <v>0.7</v>
      </c>
      <c r="F421" s="2" t="inlineStr">
        <is>
          <t>paramètre</t>
        </is>
      </c>
      <c r="G421" s="7" t="inlineStr">
        <is>
          <t>HYPOTHÈSE</t>
        </is>
      </c>
      <c r="H421" s="2" t="inlineStr"/>
      <c r="I421" s="8" t="inlineStr">
        <is>
          <t>Cumul défavorable : activités −30 %, crise en année 5, sinistre de 600 000 € en année 6, salaires +1,5 % réel</t>
        </is>
      </c>
      <c r="J421" s="2" t="inlineStr">
        <is>
          <t>Stress tests</t>
        </is>
      </c>
    </row>
    <row r="422">
      <c r="A422" s="2" t="inlineStr">
        <is>
          <t>st_cumul_mult_campagne</t>
        </is>
      </c>
      <c r="B422" s="2" t="inlineStr">
        <is>
          <t>Test « cumul » — mult_campagne</t>
        </is>
      </c>
      <c r="C422" s="14" t="n">
        <v>1</v>
      </c>
      <c r="D422" s="14" t="n">
        <v>1</v>
      </c>
      <c r="E422" s="14" t="n">
        <v>1</v>
      </c>
      <c r="F422" s="2" t="inlineStr">
        <is>
          <t>paramètre</t>
        </is>
      </c>
      <c r="G422" s="7" t="inlineStr">
        <is>
          <t>HYPOTHÈSE</t>
        </is>
      </c>
      <c r="H422" s="2" t="inlineStr"/>
      <c r="I422" s="8" t="inlineStr">
        <is>
          <t>Cumul défavorable : activités −30 %, crise en année 5, sinistre de 600 000 € en année 6, salaires +1,5 % réel</t>
        </is>
      </c>
      <c r="J422" s="2" t="inlineStr">
        <is>
          <t>Stress tests</t>
        </is>
      </c>
    </row>
    <row r="423">
      <c r="A423" s="2" t="inlineStr">
        <is>
          <t>st_energie_choc_trav_an</t>
        </is>
      </c>
      <c r="B423" s="2" t="inlineStr">
        <is>
          <t>Test « energie » — choc_trav_an</t>
        </is>
      </c>
      <c r="C423" s="14" t="n">
        <v>0</v>
      </c>
      <c r="D423" s="14" t="n">
        <v>0</v>
      </c>
      <c r="E423" s="14" t="n">
        <v>0</v>
      </c>
      <c r="F423" s="2" t="inlineStr">
        <is>
          <t>paramètre</t>
        </is>
      </c>
      <c r="G423" s="7" t="inlineStr">
        <is>
          <t>HYPOTHÈSE</t>
        </is>
      </c>
      <c r="H423" s="2" t="inlineStr"/>
      <c r="I423" s="8" t="inlineStr">
        <is>
          <t>Prix de l'énergie ×2 pendant 3 ans (années 4 à 6)</t>
        </is>
      </c>
      <c r="J423" s="2" t="inlineStr">
        <is>
          <t>Stress tests</t>
        </is>
      </c>
    </row>
    <row r="424">
      <c r="A424" s="2" t="inlineStr">
        <is>
          <t>st_energie_choc_trav_montant</t>
        </is>
      </c>
      <c r="B424" s="2" t="inlineStr">
        <is>
          <t>Test « energie » — choc_trav_montant</t>
        </is>
      </c>
      <c r="C424" s="14" t="n">
        <v>0</v>
      </c>
      <c r="D424" s="14" t="n">
        <v>0</v>
      </c>
      <c r="E424" s="14" t="n">
        <v>0</v>
      </c>
      <c r="F424" s="2" t="inlineStr">
        <is>
          <t>paramètre</t>
        </is>
      </c>
      <c r="G424" s="7" t="inlineStr">
        <is>
          <t>HYPOTHÈSE</t>
        </is>
      </c>
      <c r="H424" s="2" t="inlineStr"/>
      <c r="I424" s="8" t="inlineStr">
        <is>
          <t>Prix de l'énergie ×2 pendant 3 ans (années 4 à 6)</t>
        </is>
      </c>
      <c r="J424" s="2" t="inlineStr">
        <is>
          <t>Stress tests</t>
        </is>
      </c>
    </row>
    <row r="425">
      <c r="A425" s="2" t="inlineStr">
        <is>
          <t>st_energie_crise_an</t>
        </is>
      </c>
      <c r="B425" s="2" t="inlineStr">
        <is>
          <t>Test « energie » — crise_an</t>
        </is>
      </c>
      <c r="C425" s="14" t="n">
        <v>0</v>
      </c>
      <c r="D425" s="14" t="n">
        <v>0</v>
      </c>
      <c r="E425" s="14" t="n">
        <v>0</v>
      </c>
      <c r="F425" s="2" t="inlineStr">
        <is>
          <t>paramètre</t>
        </is>
      </c>
      <c r="G425" s="7" t="inlineStr">
        <is>
          <t>HYPOTHÈSE</t>
        </is>
      </c>
      <c r="H425" s="2" t="inlineStr"/>
      <c r="I425" s="8" t="inlineStr">
        <is>
          <t>Prix de l'énergie ×2 pendant 3 ans (années 4 à 6)</t>
        </is>
      </c>
      <c r="J425" s="2" t="inlineStr">
        <is>
          <t>Stress tests</t>
        </is>
      </c>
    </row>
    <row r="426">
      <c r="A426" s="2" t="inlineStr">
        <is>
          <t>st_energie_debut_mult</t>
        </is>
      </c>
      <c r="B426" s="2" t="inlineStr">
        <is>
          <t>Test « energie » — debut_mult</t>
        </is>
      </c>
      <c r="C426" s="14" t="n">
        <v>99</v>
      </c>
      <c r="D426" s="14" t="n">
        <v>99</v>
      </c>
      <c r="E426" s="14" t="n">
        <v>99</v>
      </c>
      <c r="F426" s="2" t="inlineStr">
        <is>
          <t>paramètre</t>
        </is>
      </c>
      <c r="G426" s="7" t="inlineStr">
        <is>
          <t>HYPOTHÈSE</t>
        </is>
      </c>
      <c r="H426" s="2" t="inlineStr"/>
      <c r="I426" s="8" t="inlineStr">
        <is>
          <t>Prix de l'énergie ×2 pendant 3 ans (années 4 à 6)</t>
        </is>
      </c>
      <c r="J426" s="2" t="inlineStr">
        <is>
          <t>Stress tests</t>
        </is>
      </c>
    </row>
    <row r="427">
      <c r="A427" s="2" t="inlineStr">
        <is>
          <t>st_energie_div_fin</t>
        </is>
      </c>
      <c r="B427" s="2" t="inlineStr">
        <is>
          <t>Test « energie » — div_fin</t>
        </is>
      </c>
      <c r="C427" s="14" t="n">
        <v>99</v>
      </c>
      <c r="D427" s="14" t="n">
        <v>99</v>
      </c>
      <c r="E427" s="14" t="n">
        <v>99</v>
      </c>
      <c r="F427" s="2" t="inlineStr">
        <is>
          <t>paramètre</t>
        </is>
      </c>
      <c r="G427" s="7" t="inlineStr">
        <is>
          <t>HYPOTHÈSE</t>
        </is>
      </c>
      <c r="H427" s="2" t="inlineStr"/>
      <c r="I427" s="8" t="inlineStr">
        <is>
          <t>Prix de l'énergie ×2 pendant 3 ans (années 4 à 6)</t>
        </is>
      </c>
      <c r="J427" s="2" t="inlineStr">
        <is>
          <t>Stress tests</t>
        </is>
      </c>
    </row>
    <row r="428">
      <c r="A428" s="2" t="inlineStr">
        <is>
          <t>st_energie_dot_rdt_delta</t>
        </is>
      </c>
      <c r="B428" s="2" t="inlineStr">
        <is>
          <t>Test « energie » — dot_rdt_delta</t>
        </is>
      </c>
      <c r="C428" s="14" t="n">
        <v>0</v>
      </c>
      <c r="D428" s="14" t="n">
        <v>0</v>
      </c>
      <c r="E428" s="14" t="n">
        <v>0</v>
      </c>
      <c r="F428" s="2" t="inlineStr">
        <is>
          <t>paramètre</t>
        </is>
      </c>
      <c r="G428" s="7" t="inlineStr">
        <is>
          <t>HYPOTHÈSE</t>
        </is>
      </c>
      <c r="H428" s="2" t="inlineStr"/>
      <c r="I428" s="8" t="inlineStr">
        <is>
          <t>Prix de l'énergie ×2 pendant 3 ans (années 4 à 6)</t>
        </is>
      </c>
      <c r="J428" s="2" t="inlineStr">
        <is>
          <t>Stress tests</t>
        </is>
      </c>
    </row>
    <row r="429">
      <c r="A429" s="2" t="inlineStr">
        <is>
          <t>st_energie_energie_debut</t>
        </is>
      </c>
      <c r="B429" s="2" t="inlineStr">
        <is>
          <t>Test « energie » — energie_debut</t>
        </is>
      </c>
      <c r="C429" s="14" t="n">
        <v>4</v>
      </c>
      <c r="D429" s="14" t="n">
        <v>4</v>
      </c>
      <c r="E429" s="14" t="n">
        <v>4</v>
      </c>
      <c r="F429" s="2" t="inlineStr">
        <is>
          <t>paramètre</t>
        </is>
      </c>
      <c r="G429" s="7" t="inlineStr">
        <is>
          <t>HYPOTHÈSE</t>
        </is>
      </c>
      <c r="H429" s="2" t="inlineStr"/>
      <c r="I429" s="8" t="inlineStr">
        <is>
          <t>Prix de l'énergie ×2 pendant 3 ans (années 4 à 6)</t>
        </is>
      </c>
      <c r="J429" s="2" t="inlineStr">
        <is>
          <t>Stress tests</t>
        </is>
      </c>
    </row>
    <row r="430">
      <c r="A430" s="2" t="inlineStr">
        <is>
          <t>st_energie_energie_fin</t>
        </is>
      </c>
      <c r="B430" s="2" t="inlineStr">
        <is>
          <t>Test « energie » — energie_fin</t>
        </is>
      </c>
      <c r="C430" s="14" t="n">
        <v>6</v>
      </c>
      <c r="D430" s="14" t="n">
        <v>6</v>
      </c>
      <c r="E430" s="14" t="n">
        <v>6</v>
      </c>
      <c r="F430" s="2" t="inlineStr">
        <is>
          <t>paramètre</t>
        </is>
      </c>
      <c r="G430" s="7" t="inlineStr">
        <is>
          <t>HYPOTHÈSE</t>
        </is>
      </c>
      <c r="H430" s="2" t="inlineStr"/>
      <c r="I430" s="8" t="inlineStr">
        <is>
          <t>Prix de l'énergie ×2 pendant 3 ans (années 4 à 6)</t>
        </is>
      </c>
      <c r="J430" s="2" t="inlineStr">
        <is>
          <t>Stress tests</t>
        </is>
      </c>
    </row>
    <row r="431">
      <c r="A431" s="2" t="inlineStr">
        <is>
          <t>st_energie_energie_mult</t>
        </is>
      </c>
      <c r="B431" s="2" t="inlineStr">
        <is>
          <t>Test « energie » — energie_mult</t>
        </is>
      </c>
      <c r="C431" s="14" t="n">
        <v>2</v>
      </c>
      <c r="D431" s="14" t="n">
        <v>2</v>
      </c>
      <c r="E431" s="14" t="n">
        <v>2</v>
      </c>
      <c r="F431" s="2" t="inlineStr">
        <is>
          <t>paramètre</t>
        </is>
      </c>
      <c r="G431" s="7" t="inlineStr">
        <is>
          <t>HYPOTHÈSE</t>
        </is>
      </c>
      <c r="H431" s="2" t="inlineStr"/>
      <c r="I431" s="8" t="inlineStr">
        <is>
          <t>Prix de l'énergie ×2 pendant 3 ans (années 4 à 6)</t>
        </is>
      </c>
      <c r="J431" s="2" t="inlineStr">
        <is>
          <t>Stress tests</t>
        </is>
      </c>
    </row>
    <row r="432">
      <c r="A432" s="2" t="inlineStr">
        <is>
          <t>st_energie_g_sal_extra</t>
        </is>
      </c>
      <c r="B432" s="2" t="inlineStr">
        <is>
          <t>Test « energie » — g_sal_extra</t>
        </is>
      </c>
      <c r="C432" s="14" t="n">
        <v>0</v>
      </c>
      <c r="D432" s="14" t="n">
        <v>0</v>
      </c>
      <c r="E432" s="14" t="n">
        <v>0</v>
      </c>
      <c r="F432" s="2" t="inlineStr">
        <is>
          <t>paramètre</t>
        </is>
      </c>
      <c r="G432" s="7" t="inlineStr">
        <is>
          <t>HYPOTHÈSE</t>
        </is>
      </c>
      <c r="H432" s="2" t="inlineStr"/>
      <c r="I432" s="8" t="inlineStr">
        <is>
          <t>Prix de l'énergie ×2 pendant 3 ans (années 4 à 6)</t>
        </is>
      </c>
      <c r="J432" s="2" t="inlineStr">
        <is>
          <t>Stress tests</t>
        </is>
      </c>
    </row>
    <row r="433">
      <c r="A433" s="2" t="inlineStr">
        <is>
          <t>st_energie_mult_A</t>
        </is>
      </c>
      <c r="B433" s="2" t="inlineStr">
        <is>
          <t>Test « energie » — mult_A</t>
        </is>
      </c>
      <c r="C433" s="14" t="n">
        <v>1</v>
      </c>
      <c r="D433" s="14" t="n">
        <v>1</v>
      </c>
      <c r="E433" s="14" t="n">
        <v>1</v>
      </c>
      <c r="F433" s="2" t="inlineStr">
        <is>
          <t>paramètre</t>
        </is>
      </c>
      <c r="G433" s="7" t="inlineStr">
        <is>
          <t>HYPOTHÈSE</t>
        </is>
      </c>
      <c r="H433" s="2" t="inlineStr"/>
      <c r="I433" s="8" t="inlineStr">
        <is>
          <t>Prix de l'énergie ×2 pendant 3 ans (années 4 à 6)</t>
        </is>
      </c>
      <c r="J433" s="2" t="inlineStr">
        <is>
          <t>Stress tests</t>
        </is>
      </c>
    </row>
    <row r="434">
      <c r="A434" s="2" t="inlineStr">
        <is>
          <t>st_energie_mult_B</t>
        </is>
      </c>
      <c r="B434" s="2" t="inlineStr">
        <is>
          <t>Test « energie » — mult_B</t>
        </is>
      </c>
      <c r="C434" s="14" t="n">
        <v>1</v>
      </c>
      <c r="D434" s="14" t="n">
        <v>1</v>
      </c>
      <c r="E434" s="14" t="n">
        <v>1</v>
      </c>
      <c r="F434" s="2" t="inlineStr">
        <is>
          <t>paramètre</t>
        </is>
      </c>
      <c r="G434" s="7" t="inlineStr">
        <is>
          <t>HYPOTHÈSE</t>
        </is>
      </c>
      <c r="H434" s="2" t="inlineStr"/>
      <c r="I434" s="8" t="inlineStr">
        <is>
          <t>Prix de l'énergie ×2 pendant 3 ans (années 4 à 6)</t>
        </is>
      </c>
      <c r="J434" s="2" t="inlineStr">
        <is>
          <t>Stress tests</t>
        </is>
      </c>
    </row>
    <row r="435">
      <c r="A435" s="2" t="inlineStr">
        <is>
          <t>st_energie_mult_C</t>
        </is>
      </c>
      <c r="B435" s="2" t="inlineStr">
        <is>
          <t>Test « energie » — mult_C</t>
        </is>
      </c>
      <c r="C435" s="14" t="n">
        <v>1</v>
      </c>
      <c r="D435" s="14" t="n">
        <v>1</v>
      </c>
      <c r="E435" s="14" t="n">
        <v>1</v>
      </c>
      <c r="F435" s="2" t="inlineStr">
        <is>
          <t>paramètre</t>
        </is>
      </c>
      <c r="G435" s="7" t="inlineStr">
        <is>
          <t>HYPOTHÈSE</t>
        </is>
      </c>
      <c r="H435" s="2" t="inlineStr"/>
      <c r="I435" s="8" t="inlineStr">
        <is>
          <t>Prix de l'énergie ×2 pendant 3 ans (années 4 à 6)</t>
        </is>
      </c>
      <c r="J435" s="2" t="inlineStr">
        <is>
          <t>Stress tests</t>
        </is>
      </c>
    </row>
    <row r="436">
      <c r="A436" s="2" t="inlineStr">
        <is>
          <t>st_energie_mult_campagne</t>
        </is>
      </c>
      <c r="B436" s="2" t="inlineStr">
        <is>
          <t>Test « energie » — mult_campagne</t>
        </is>
      </c>
      <c r="C436" s="14" t="n">
        <v>1</v>
      </c>
      <c r="D436" s="14" t="n">
        <v>1</v>
      </c>
      <c r="E436" s="14" t="n">
        <v>1</v>
      </c>
      <c r="F436" s="2" t="inlineStr">
        <is>
          <t>paramètre</t>
        </is>
      </c>
      <c r="G436" s="7" t="inlineStr">
        <is>
          <t>HYPOTHÈSE</t>
        </is>
      </c>
      <c r="H436" s="2" t="inlineStr"/>
      <c r="I436" s="8" t="inlineStr">
        <is>
          <t>Prix de l'énergie ×2 pendant 3 ans (années 4 à 6)</t>
        </is>
      </c>
      <c r="J436" s="2" t="inlineStr">
        <is>
          <t>Stress tests</t>
        </is>
      </c>
    </row>
    <row r="437">
      <c r="A437" s="2" t="inlineStr">
        <is>
          <t>st_moteur_choc_trav_an</t>
        </is>
      </c>
      <c r="B437" s="2" t="inlineStr">
        <is>
          <t>Test « moteur » — choc_trav_an</t>
        </is>
      </c>
      <c r="C437" s="14" t="n">
        <v>0</v>
      </c>
      <c r="D437" s="14" t="n">
        <v>0</v>
      </c>
      <c r="E437" s="14" t="n">
        <v>0</v>
      </c>
      <c r="F437" s="2" t="inlineStr">
        <is>
          <t>paramètre</t>
        </is>
      </c>
      <c r="G437" s="7" t="inlineStr">
        <is>
          <t>HYPOTHÈSE</t>
        </is>
      </c>
      <c r="H437" s="2" t="inlineStr"/>
      <c r="I437" s="8" t="inlineStr">
        <is>
          <t>Moteur extérieur défaillant : dividendes nuls dès l'année 3 et rendement de la dotation −1 point</t>
        </is>
      </c>
      <c r="J437" s="2" t="inlineStr">
        <is>
          <t>Stress tests</t>
        </is>
      </c>
    </row>
    <row r="438">
      <c r="A438" s="2" t="inlineStr">
        <is>
          <t>st_moteur_choc_trav_montant</t>
        </is>
      </c>
      <c r="B438" s="2" t="inlineStr">
        <is>
          <t>Test « moteur » — choc_trav_montant</t>
        </is>
      </c>
      <c r="C438" s="14" t="n">
        <v>0</v>
      </c>
      <c r="D438" s="14" t="n">
        <v>0</v>
      </c>
      <c r="E438" s="14" t="n">
        <v>0</v>
      </c>
      <c r="F438" s="2" t="inlineStr">
        <is>
          <t>paramètre</t>
        </is>
      </c>
      <c r="G438" s="7" t="inlineStr">
        <is>
          <t>HYPOTHÈSE</t>
        </is>
      </c>
      <c r="H438" s="2" t="inlineStr"/>
      <c r="I438" s="8" t="inlineStr">
        <is>
          <t>Moteur extérieur défaillant : dividendes nuls dès l'année 3 et rendement de la dotation −1 point</t>
        </is>
      </c>
      <c r="J438" s="2" t="inlineStr">
        <is>
          <t>Stress tests</t>
        </is>
      </c>
    </row>
    <row r="439">
      <c r="A439" s="2" t="inlineStr">
        <is>
          <t>st_moteur_crise_an</t>
        </is>
      </c>
      <c r="B439" s="2" t="inlineStr">
        <is>
          <t>Test « moteur » — crise_an</t>
        </is>
      </c>
      <c r="C439" s="14" t="n">
        <v>0</v>
      </c>
      <c r="D439" s="14" t="n">
        <v>0</v>
      </c>
      <c r="E439" s="14" t="n">
        <v>0</v>
      </c>
      <c r="F439" s="2" t="inlineStr">
        <is>
          <t>paramètre</t>
        </is>
      </c>
      <c r="G439" s="7" t="inlineStr">
        <is>
          <t>HYPOTHÈSE</t>
        </is>
      </c>
      <c r="H439" s="2" t="inlineStr"/>
      <c r="I439" s="8" t="inlineStr">
        <is>
          <t>Moteur extérieur défaillant : dividendes nuls dès l'année 3 et rendement de la dotation −1 point</t>
        </is>
      </c>
      <c r="J439" s="2" t="inlineStr">
        <is>
          <t>Stress tests</t>
        </is>
      </c>
    </row>
    <row r="440">
      <c r="A440" s="2" t="inlineStr">
        <is>
          <t>st_moteur_debut_mult</t>
        </is>
      </c>
      <c r="B440" s="2" t="inlineStr">
        <is>
          <t>Test « moteur » — debut_mult</t>
        </is>
      </c>
      <c r="C440" s="14" t="n">
        <v>99</v>
      </c>
      <c r="D440" s="14" t="n">
        <v>99</v>
      </c>
      <c r="E440" s="14" t="n">
        <v>99</v>
      </c>
      <c r="F440" s="2" t="inlineStr">
        <is>
          <t>paramètre</t>
        </is>
      </c>
      <c r="G440" s="7" t="inlineStr">
        <is>
          <t>HYPOTHÈSE</t>
        </is>
      </c>
      <c r="H440" s="2" t="inlineStr"/>
      <c r="I440" s="8" t="inlineStr">
        <is>
          <t>Moteur extérieur défaillant : dividendes nuls dès l'année 3 et rendement de la dotation −1 point</t>
        </is>
      </c>
      <c r="J440" s="2" t="inlineStr">
        <is>
          <t>Stress tests</t>
        </is>
      </c>
    </row>
    <row r="441">
      <c r="A441" s="2" t="inlineStr">
        <is>
          <t>st_moteur_div_fin</t>
        </is>
      </c>
      <c r="B441" s="2" t="inlineStr">
        <is>
          <t>Test « moteur » — div_fin</t>
        </is>
      </c>
      <c r="C441" s="14" t="n">
        <v>2</v>
      </c>
      <c r="D441" s="14" t="n">
        <v>2</v>
      </c>
      <c r="E441" s="14" t="n">
        <v>2</v>
      </c>
      <c r="F441" s="2" t="inlineStr">
        <is>
          <t>paramètre</t>
        </is>
      </c>
      <c r="G441" s="7" t="inlineStr">
        <is>
          <t>HYPOTHÈSE</t>
        </is>
      </c>
      <c r="H441" s="2" t="inlineStr"/>
      <c r="I441" s="8" t="inlineStr">
        <is>
          <t>Moteur extérieur défaillant : dividendes nuls dès l'année 3 et rendement de la dotation −1 point</t>
        </is>
      </c>
      <c r="J441" s="2" t="inlineStr">
        <is>
          <t>Stress tests</t>
        </is>
      </c>
    </row>
    <row r="442">
      <c r="A442" s="2" t="inlineStr">
        <is>
          <t>st_moteur_dot_rdt_delta</t>
        </is>
      </c>
      <c r="B442" s="2" t="inlineStr">
        <is>
          <t>Test « moteur » — dot_rdt_delta</t>
        </is>
      </c>
      <c r="C442" s="14" t="n">
        <v>-0.01</v>
      </c>
      <c r="D442" s="14" t="n">
        <v>-0.01</v>
      </c>
      <c r="E442" s="14" t="n">
        <v>-0.01</v>
      </c>
      <c r="F442" s="2" t="inlineStr">
        <is>
          <t>paramètre</t>
        </is>
      </c>
      <c r="G442" s="7" t="inlineStr">
        <is>
          <t>HYPOTHÈSE</t>
        </is>
      </c>
      <c r="H442" s="2" t="inlineStr"/>
      <c r="I442" s="8" t="inlineStr">
        <is>
          <t>Moteur extérieur défaillant : dividendes nuls dès l'année 3 et rendement de la dotation −1 point</t>
        </is>
      </c>
      <c r="J442" s="2" t="inlineStr">
        <is>
          <t>Stress tests</t>
        </is>
      </c>
    </row>
    <row r="443">
      <c r="A443" s="2" t="inlineStr">
        <is>
          <t>st_moteur_energie_debut</t>
        </is>
      </c>
      <c r="B443" s="2" t="inlineStr">
        <is>
          <t>Test « moteur » — energie_debut</t>
        </is>
      </c>
      <c r="C443" s="14" t="n">
        <v>99</v>
      </c>
      <c r="D443" s="14" t="n">
        <v>99</v>
      </c>
      <c r="E443" s="14" t="n">
        <v>99</v>
      </c>
      <c r="F443" s="2" t="inlineStr">
        <is>
          <t>paramètre</t>
        </is>
      </c>
      <c r="G443" s="7" t="inlineStr">
        <is>
          <t>HYPOTHÈSE</t>
        </is>
      </c>
      <c r="H443" s="2" t="inlineStr"/>
      <c r="I443" s="8" t="inlineStr">
        <is>
          <t>Moteur extérieur défaillant : dividendes nuls dès l'année 3 et rendement de la dotation −1 point</t>
        </is>
      </c>
      <c r="J443" s="2" t="inlineStr">
        <is>
          <t>Stress tests</t>
        </is>
      </c>
    </row>
    <row r="444">
      <c r="A444" s="2" t="inlineStr">
        <is>
          <t>st_moteur_energie_fin</t>
        </is>
      </c>
      <c r="B444" s="2" t="inlineStr">
        <is>
          <t>Test « moteur » — energie_fin</t>
        </is>
      </c>
      <c r="C444" s="14" t="n">
        <v>0</v>
      </c>
      <c r="D444" s="14" t="n">
        <v>0</v>
      </c>
      <c r="E444" s="14" t="n">
        <v>0</v>
      </c>
      <c r="F444" s="2" t="inlineStr">
        <is>
          <t>paramètre</t>
        </is>
      </c>
      <c r="G444" s="7" t="inlineStr">
        <is>
          <t>HYPOTHÈSE</t>
        </is>
      </c>
      <c r="H444" s="2" t="inlineStr"/>
      <c r="I444" s="8" t="inlineStr">
        <is>
          <t>Moteur extérieur défaillant : dividendes nuls dès l'année 3 et rendement de la dotation −1 point</t>
        </is>
      </c>
      <c r="J444" s="2" t="inlineStr">
        <is>
          <t>Stress tests</t>
        </is>
      </c>
    </row>
    <row r="445">
      <c r="A445" s="2" t="inlineStr">
        <is>
          <t>st_moteur_energie_mult</t>
        </is>
      </c>
      <c r="B445" s="2" t="inlineStr">
        <is>
          <t>Test « moteur » — energie_mult</t>
        </is>
      </c>
      <c r="C445" s="14" t="n">
        <v>1</v>
      </c>
      <c r="D445" s="14" t="n">
        <v>1</v>
      </c>
      <c r="E445" s="14" t="n">
        <v>1</v>
      </c>
      <c r="F445" s="2" t="inlineStr">
        <is>
          <t>paramètre</t>
        </is>
      </c>
      <c r="G445" s="7" t="inlineStr">
        <is>
          <t>HYPOTHÈSE</t>
        </is>
      </c>
      <c r="H445" s="2" t="inlineStr"/>
      <c r="I445" s="8" t="inlineStr">
        <is>
          <t>Moteur extérieur défaillant : dividendes nuls dès l'année 3 et rendement de la dotation −1 point</t>
        </is>
      </c>
      <c r="J445" s="2" t="inlineStr">
        <is>
          <t>Stress tests</t>
        </is>
      </c>
    </row>
    <row r="446">
      <c r="A446" s="2" t="inlineStr">
        <is>
          <t>st_moteur_g_sal_extra</t>
        </is>
      </c>
      <c r="B446" s="2" t="inlineStr">
        <is>
          <t>Test « moteur » — g_sal_extra</t>
        </is>
      </c>
      <c r="C446" s="14" t="n">
        <v>0</v>
      </c>
      <c r="D446" s="14" t="n">
        <v>0</v>
      </c>
      <c r="E446" s="14" t="n">
        <v>0</v>
      </c>
      <c r="F446" s="2" t="inlineStr">
        <is>
          <t>paramètre</t>
        </is>
      </c>
      <c r="G446" s="7" t="inlineStr">
        <is>
          <t>HYPOTHÈSE</t>
        </is>
      </c>
      <c r="H446" s="2" t="inlineStr"/>
      <c r="I446" s="8" t="inlineStr">
        <is>
          <t>Moteur extérieur défaillant : dividendes nuls dès l'année 3 et rendement de la dotation −1 point</t>
        </is>
      </c>
      <c r="J446" s="2" t="inlineStr">
        <is>
          <t>Stress tests</t>
        </is>
      </c>
    </row>
    <row r="447">
      <c r="A447" s="2" t="inlineStr">
        <is>
          <t>st_moteur_mult_A</t>
        </is>
      </c>
      <c r="B447" s="2" t="inlineStr">
        <is>
          <t>Test « moteur » — mult_A</t>
        </is>
      </c>
      <c r="C447" s="14" t="n">
        <v>1</v>
      </c>
      <c r="D447" s="14" t="n">
        <v>1</v>
      </c>
      <c r="E447" s="14" t="n">
        <v>1</v>
      </c>
      <c r="F447" s="2" t="inlineStr">
        <is>
          <t>paramètre</t>
        </is>
      </c>
      <c r="G447" s="7" t="inlineStr">
        <is>
          <t>HYPOTHÈSE</t>
        </is>
      </c>
      <c r="H447" s="2" t="inlineStr"/>
      <c r="I447" s="8" t="inlineStr">
        <is>
          <t>Moteur extérieur défaillant : dividendes nuls dès l'année 3 et rendement de la dotation −1 point</t>
        </is>
      </c>
      <c r="J447" s="2" t="inlineStr">
        <is>
          <t>Stress tests</t>
        </is>
      </c>
    </row>
    <row r="448">
      <c r="A448" s="2" t="inlineStr">
        <is>
          <t>st_moteur_mult_B</t>
        </is>
      </c>
      <c r="B448" s="2" t="inlineStr">
        <is>
          <t>Test « moteur » — mult_B</t>
        </is>
      </c>
      <c r="C448" s="14" t="n">
        <v>1</v>
      </c>
      <c r="D448" s="14" t="n">
        <v>1</v>
      </c>
      <c r="E448" s="14" t="n">
        <v>1</v>
      </c>
      <c r="F448" s="2" t="inlineStr">
        <is>
          <t>paramètre</t>
        </is>
      </c>
      <c r="G448" s="7" t="inlineStr">
        <is>
          <t>HYPOTHÈSE</t>
        </is>
      </c>
      <c r="H448" s="2" t="inlineStr"/>
      <c r="I448" s="8" t="inlineStr">
        <is>
          <t>Moteur extérieur défaillant : dividendes nuls dès l'année 3 et rendement de la dotation −1 point</t>
        </is>
      </c>
      <c r="J448" s="2" t="inlineStr">
        <is>
          <t>Stress tests</t>
        </is>
      </c>
    </row>
    <row r="449">
      <c r="A449" s="2" t="inlineStr">
        <is>
          <t>st_moteur_mult_C</t>
        </is>
      </c>
      <c r="B449" s="2" t="inlineStr">
        <is>
          <t>Test « moteur » — mult_C</t>
        </is>
      </c>
      <c r="C449" s="14" t="n">
        <v>1</v>
      </c>
      <c r="D449" s="14" t="n">
        <v>1</v>
      </c>
      <c r="E449" s="14" t="n">
        <v>1</v>
      </c>
      <c r="F449" s="2" t="inlineStr">
        <is>
          <t>paramètre</t>
        </is>
      </c>
      <c r="G449" s="7" t="inlineStr">
        <is>
          <t>HYPOTHÈSE</t>
        </is>
      </c>
      <c r="H449" s="2" t="inlineStr"/>
      <c r="I449" s="8" t="inlineStr">
        <is>
          <t>Moteur extérieur défaillant : dividendes nuls dès l'année 3 et rendement de la dotation −1 point</t>
        </is>
      </c>
      <c r="J449" s="2" t="inlineStr">
        <is>
          <t>Stress tests</t>
        </is>
      </c>
    </row>
    <row r="450">
      <c r="A450" s="2" t="inlineStr">
        <is>
          <t>st_moteur_mult_campagne</t>
        </is>
      </c>
      <c r="B450" s="2" t="inlineStr">
        <is>
          <t>Test « moteur » — mult_campagne</t>
        </is>
      </c>
      <c r="C450" s="14" t="n">
        <v>1</v>
      </c>
      <c r="D450" s="14" t="n">
        <v>1</v>
      </c>
      <c r="E450" s="14" t="n">
        <v>1</v>
      </c>
      <c r="F450" s="2" t="inlineStr">
        <is>
          <t>paramètre</t>
        </is>
      </c>
      <c r="G450" s="7" t="inlineStr">
        <is>
          <t>HYPOTHÈSE</t>
        </is>
      </c>
      <c r="H450" s="2" t="inlineStr"/>
      <c r="I450" s="8" t="inlineStr">
        <is>
          <t>Moteur extérieur défaillant : dividendes nuls dès l'année 3 et rendement de la dotation −1 point</t>
        </is>
      </c>
      <c r="J450" s="2" t="inlineStr">
        <is>
          <t>Stress tests</t>
        </is>
      </c>
    </row>
    <row r="451">
      <c r="A451" s="2" t="inlineStr">
        <is>
          <t>st_salaires_choc_trav_an</t>
        </is>
      </c>
      <c r="B451" s="2" t="inlineStr">
        <is>
          <t>Test « salaires » — choc_trav_an</t>
        </is>
      </c>
      <c r="C451" s="14" t="n">
        <v>0</v>
      </c>
      <c r="D451" s="14" t="n">
        <v>0</v>
      </c>
      <c r="E451" s="14" t="n">
        <v>0</v>
      </c>
      <c r="F451" s="2" t="inlineStr">
        <is>
          <t>paramètre</t>
        </is>
      </c>
      <c r="G451" s="7" t="inlineStr">
        <is>
          <t>HYPOTHÈSE</t>
        </is>
      </c>
      <c r="H451" s="2" t="inlineStr"/>
      <c r="I451" s="8" t="inlineStr">
        <is>
          <t>Salaires +1,5 % réel par an au lieu de +0,5 %</t>
        </is>
      </c>
      <c r="J451" s="2" t="inlineStr">
        <is>
          <t>Stress tests</t>
        </is>
      </c>
    </row>
    <row r="452">
      <c r="A452" s="2" t="inlineStr">
        <is>
          <t>st_salaires_choc_trav_montant</t>
        </is>
      </c>
      <c r="B452" s="2" t="inlineStr">
        <is>
          <t>Test « salaires » — choc_trav_montant</t>
        </is>
      </c>
      <c r="C452" s="14" t="n">
        <v>0</v>
      </c>
      <c r="D452" s="14" t="n">
        <v>0</v>
      </c>
      <c r="E452" s="14" t="n">
        <v>0</v>
      </c>
      <c r="F452" s="2" t="inlineStr">
        <is>
          <t>paramètre</t>
        </is>
      </c>
      <c r="G452" s="7" t="inlineStr">
        <is>
          <t>HYPOTHÈSE</t>
        </is>
      </c>
      <c r="H452" s="2" t="inlineStr"/>
      <c r="I452" s="8" t="inlineStr">
        <is>
          <t>Salaires +1,5 % réel par an au lieu de +0,5 %</t>
        </is>
      </c>
      <c r="J452" s="2" t="inlineStr">
        <is>
          <t>Stress tests</t>
        </is>
      </c>
    </row>
    <row r="453">
      <c r="A453" s="2" t="inlineStr">
        <is>
          <t>st_salaires_crise_an</t>
        </is>
      </c>
      <c r="B453" s="2" t="inlineStr">
        <is>
          <t>Test « salaires » — crise_an</t>
        </is>
      </c>
      <c r="C453" s="14" t="n">
        <v>0</v>
      </c>
      <c r="D453" s="14" t="n">
        <v>0</v>
      </c>
      <c r="E453" s="14" t="n">
        <v>0</v>
      </c>
      <c r="F453" s="2" t="inlineStr">
        <is>
          <t>paramètre</t>
        </is>
      </c>
      <c r="G453" s="7" t="inlineStr">
        <is>
          <t>HYPOTHÈSE</t>
        </is>
      </c>
      <c r="H453" s="2" t="inlineStr"/>
      <c r="I453" s="8" t="inlineStr">
        <is>
          <t>Salaires +1,5 % réel par an au lieu de +0,5 %</t>
        </is>
      </c>
      <c r="J453" s="2" t="inlineStr">
        <is>
          <t>Stress tests</t>
        </is>
      </c>
    </row>
    <row r="454">
      <c r="A454" s="2" t="inlineStr">
        <is>
          <t>st_salaires_debut_mult</t>
        </is>
      </c>
      <c r="B454" s="2" t="inlineStr">
        <is>
          <t>Test « salaires » — debut_mult</t>
        </is>
      </c>
      <c r="C454" s="14" t="n">
        <v>99</v>
      </c>
      <c r="D454" s="14" t="n">
        <v>99</v>
      </c>
      <c r="E454" s="14" t="n">
        <v>99</v>
      </c>
      <c r="F454" s="2" t="inlineStr">
        <is>
          <t>paramètre</t>
        </is>
      </c>
      <c r="G454" s="7" t="inlineStr">
        <is>
          <t>HYPOTHÈSE</t>
        </is>
      </c>
      <c r="H454" s="2" t="inlineStr"/>
      <c r="I454" s="8" t="inlineStr">
        <is>
          <t>Salaires +1,5 % réel par an au lieu de +0,5 %</t>
        </is>
      </c>
      <c r="J454" s="2" t="inlineStr">
        <is>
          <t>Stress tests</t>
        </is>
      </c>
    </row>
    <row r="455">
      <c r="A455" s="2" t="inlineStr">
        <is>
          <t>st_salaires_div_fin</t>
        </is>
      </c>
      <c r="B455" s="2" t="inlineStr">
        <is>
          <t>Test « salaires » — div_fin</t>
        </is>
      </c>
      <c r="C455" s="14" t="n">
        <v>99</v>
      </c>
      <c r="D455" s="14" t="n">
        <v>99</v>
      </c>
      <c r="E455" s="14" t="n">
        <v>99</v>
      </c>
      <c r="F455" s="2" t="inlineStr">
        <is>
          <t>paramètre</t>
        </is>
      </c>
      <c r="G455" s="7" t="inlineStr">
        <is>
          <t>HYPOTHÈSE</t>
        </is>
      </c>
      <c r="H455" s="2" t="inlineStr"/>
      <c r="I455" s="8" t="inlineStr">
        <is>
          <t>Salaires +1,5 % réel par an au lieu de +0,5 %</t>
        </is>
      </c>
      <c r="J455" s="2" t="inlineStr">
        <is>
          <t>Stress tests</t>
        </is>
      </c>
    </row>
    <row r="456">
      <c r="A456" s="2" t="inlineStr">
        <is>
          <t>st_salaires_dot_rdt_delta</t>
        </is>
      </c>
      <c r="B456" s="2" t="inlineStr">
        <is>
          <t>Test « salaires » — dot_rdt_delta</t>
        </is>
      </c>
      <c r="C456" s="14" t="n">
        <v>0</v>
      </c>
      <c r="D456" s="14" t="n">
        <v>0</v>
      </c>
      <c r="E456" s="14" t="n">
        <v>0</v>
      </c>
      <c r="F456" s="2" t="inlineStr">
        <is>
          <t>paramètre</t>
        </is>
      </c>
      <c r="G456" s="7" t="inlineStr">
        <is>
          <t>HYPOTHÈSE</t>
        </is>
      </c>
      <c r="H456" s="2" t="inlineStr"/>
      <c r="I456" s="8" t="inlineStr">
        <is>
          <t>Salaires +1,5 % réel par an au lieu de +0,5 %</t>
        </is>
      </c>
      <c r="J456" s="2" t="inlineStr">
        <is>
          <t>Stress tests</t>
        </is>
      </c>
    </row>
    <row r="457">
      <c r="A457" s="2" t="inlineStr">
        <is>
          <t>st_salaires_energie_debut</t>
        </is>
      </c>
      <c r="B457" s="2" t="inlineStr">
        <is>
          <t>Test « salaires » — energie_debut</t>
        </is>
      </c>
      <c r="C457" s="14" t="n">
        <v>99</v>
      </c>
      <c r="D457" s="14" t="n">
        <v>99</v>
      </c>
      <c r="E457" s="14" t="n">
        <v>99</v>
      </c>
      <c r="F457" s="2" t="inlineStr">
        <is>
          <t>paramètre</t>
        </is>
      </c>
      <c r="G457" s="7" t="inlineStr">
        <is>
          <t>HYPOTHÈSE</t>
        </is>
      </c>
      <c r="H457" s="2" t="inlineStr"/>
      <c r="I457" s="8" t="inlineStr">
        <is>
          <t>Salaires +1,5 % réel par an au lieu de +0,5 %</t>
        </is>
      </c>
      <c r="J457" s="2" t="inlineStr">
        <is>
          <t>Stress tests</t>
        </is>
      </c>
    </row>
    <row r="458">
      <c r="A458" s="2" t="inlineStr">
        <is>
          <t>st_salaires_energie_fin</t>
        </is>
      </c>
      <c r="B458" s="2" t="inlineStr">
        <is>
          <t>Test « salaires » — energie_fin</t>
        </is>
      </c>
      <c r="C458" s="14" t="n">
        <v>0</v>
      </c>
      <c r="D458" s="14" t="n">
        <v>0</v>
      </c>
      <c r="E458" s="14" t="n">
        <v>0</v>
      </c>
      <c r="F458" s="2" t="inlineStr">
        <is>
          <t>paramètre</t>
        </is>
      </c>
      <c r="G458" s="7" t="inlineStr">
        <is>
          <t>HYPOTHÈSE</t>
        </is>
      </c>
      <c r="H458" s="2" t="inlineStr"/>
      <c r="I458" s="8" t="inlineStr">
        <is>
          <t>Salaires +1,5 % réel par an au lieu de +0,5 %</t>
        </is>
      </c>
      <c r="J458" s="2" t="inlineStr">
        <is>
          <t>Stress tests</t>
        </is>
      </c>
    </row>
    <row r="459">
      <c r="A459" s="2" t="inlineStr">
        <is>
          <t>st_salaires_energie_mult</t>
        </is>
      </c>
      <c r="B459" s="2" t="inlineStr">
        <is>
          <t>Test « salaires » — energie_mult</t>
        </is>
      </c>
      <c r="C459" s="14" t="n">
        <v>1</v>
      </c>
      <c r="D459" s="14" t="n">
        <v>1</v>
      </c>
      <c r="E459" s="14" t="n">
        <v>1</v>
      </c>
      <c r="F459" s="2" t="inlineStr">
        <is>
          <t>paramètre</t>
        </is>
      </c>
      <c r="G459" s="7" t="inlineStr">
        <is>
          <t>HYPOTHÈSE</t>
        </is>
      </c>
      <c r="H459" s="2" t="inlineStr"/>
      <c r="I459" s="8" t="inlineStr">
        <is>
          <t>Salaires +1,5 % réel par an au lieu de +0,5 %</t>
        </is>
      </c>
      <c r="J459" s="2" t="inlineStr">
        <is>
          <t>Stress tests</t>
        </is>
      </c>
    </row>
    <row r="460">
      <c r="A460" s="2" t="inlineStr">
        <is>
          <t>st_salaires_g_sal_extra</t>
        </is>
      </c>
      <c r="B460" s="2" t="inlineStr">
        <is>
          <t>Test « salaires » — g_sal_extra</t>
        </is>
      </c>
      <c r="C460" s="14" t="n">
        <v>0.01</v>
      </c>
      <c r="D460" s="14" t="n">
        <v>0.01</v>
      </c>
      <c r="E460" s="14" t="n">
        <v>0.01</v>
      </c>
      <c r="F460" s="2" t="inlineStr">
        <is>
          <t>paramètre</t>
        </is>
      </c>
      <c r="G460" s="7" t="inlineStr">
        <is>
          <t>HYPOTHÈSE</t>
        </is>
      </c>
      <c r="H460" s="2" t="inlineStr"/>
      <c r="I460" s="8" t="inlineStr">
        <is>
          <t>Salaires +1,5 % réel par an au lieu de +0,5 %</t>
        </is>
      </c>
      <c r="J460" s="2" t="inlineStr">
        <is>
          <t>Stress tests</t>
        </is>
      </c>
    </row>
    <row r="461">
      <c r="A461" s="2" t="inlineStr">
        <is>
          <t>st_salaires_mult_A</t>
        </is>
      </c>
      <c r="B461" s="2" t="inlineStr">
        <is>
          <t>Test « salaires » — mult_A</t>
        </is>
      </c>
      <c r="C461" s="14" t="n">
        <v>1</v>
      </c>
      <c r="D461" s="14" t="n">
        <v>1</v>
      </c>
      <c r="E461" s="14" t="n">
        <v>1</v>
      </c>
      <c r="F461" s="2" t="inlineStr">
        <is>
          <t>paramètre</t>
        </is>
      </c>
      <c r="G461" s="7" t="inlineStr">
        <is>
          <t>HYPOTHÈSE</t>
        </is>
      </c>
      <c r="H461" s="2" t="inlineStr"/>
      <c r="I461" s="8" t="inlineStr">
        <is>
          <t>Salaires +1,5 % réel par an au lieu de +0,5 %</t>
        </is>
      </c>
      <c r="J461" s="2" t="inlineStr">
        <is>
          <t>Stress tests</t>
        </is>
      </c>
    </row>
    <row r="462">
      <c r="A462" s="2" t="inlineStr">
        <is>
          <t>st_salaires_mult_B</t>
        </is>
      </c>
      <c r="B462" s="2" t="inlineStr">
        <is>
          <t>Test « salaires » — mult_B</t>
        </is>
      </c>
      <c r="C462" s="14" t="n">
        <v>1</v>
      </c>
      <c r="D462" s="14" t="n">
        <v>1</v>
      </c>
      <c r="E462" s="14" t="n">
        <v>1</v>
      </c>
      <c r="F462" s="2" t="inlineStr">
        <is>
          <t>paramètre</t>
        </is>
      </c>
      <c r="G462" s="7" t="inlineStr">
        <is>
          <t>HYPOTHÈSE</t>
        </is>
      </c>
      <c r="H462" s="2" t="inlineStr"/>
      <c r="I462" s="8" t="inlineStr">
        <is>
          <t>Salaires +1,5 % réel par an au lieu de +0,5 %</t>
        </is>
      </c>
      <c r="J462" s="2" t="inlineStr">
        <is>
          <t>Stress tests</t>
        </is>
      </c>
    </row>
    <row r="463">
      <c r="A463" s="2" t="inlineStr">
        <is>
          <t>st_salaires_mult_C</t>
        </is>
      </c>
      <c r="B463" s="2" t="inlineStr">
        <is>
          <t>Test « salaires » — mult_C</t>
        </is>
      </c>
      <c r="C463" s="14" t="n">
        <v>1</v>
      </c>
      <c r="D463" s="14" t="n">
        <v>1</v>
      </c>
      <c r="E463" s="14" t="n">
        <v>1</v>
      </c>
      <c r="F463" s="2" t="inlineStr">
        <is>
          <t>paramètre</t>
        </is>
      </c>
      <c r="G463" s="7" t="inlineStr">
        <is>
          <t>HYPOTHÈSE</t>
        </is>
      </c>
      <c r="H463" s="2" t="inlineStr"/>
      <c r="I463" s="8" t="inlineStr">
        <is>
          <t>Salaires +1,5 % réel par an au lieu de +0,5 %</t>
        </is>
      </c>
      <c r="J463" s="2" t="inlineStr">
        <is>
          <t>Stress tests</t>
        </is>
      </c>
    </row>
    <row r="464">
      <c r="A464" s="2" t="inlineStr">
        <is>
          <t>st_salaires_mult_campagne</t>
        </is>
      </c>
      <c r="B464" s="2" t="inlineStr">
        <is>
          <t>Test « salaires » — mult_campagne</t>
        </is>
      </c>
      <c r="C464" s="14" t="n">
        <v>1</v>
      </c>
      <c r="D464" s="14" t="n">
        <v>1</v>
      </c>
      <c r="E464" s="14" t="n">
        <v>1</v>
      </c>
      <c r="F464" s="2" t="inlineStr">
        <is>
          <t>paramètre</t>
        </is>
      </c>
      <c r="G464" s="7" t="inlineStr">
        <is>
          <t>HYPOTHÈSE</t>
        </is>
      </c>
      <c r="H464" s="2" t="inlineStr"/>
      <c r="I464" s="8" t="inlineStr">
        <is>
          <t>Salaires +1,5 % réel par an au lieu de +0,5 %</t>
        </is>
      </c>
      <c r="J464" s="2" t="inlineStr">
        <is>
          <t>Stress tests</t>
        </is>
      </c>
    </row>
    <row r="465">
      <c r="A465" s="2" t="inlineStr">
        <is>
          <t>st_travaux_choc_trav_an</t>
        </is>
      </c>
      <c r="B465" s="2" t="inlineStr">
        <is>
          <t>Test « travaux » — choc_trav_an</t>
        </is>
      </c>
      <c r="C465" s="14" t="n">
        <v>6</v>
      </c>
      <c r="D465" s="14" t="n">
        <v>6</v>
      </c>
      <c r="E465" s="14" t="n">
        <v>6</v>
      </c>
      <c r="F465" s="2" t="inlineStr">
        <is>
          <t>paramètre</t>
        </is>
      </c>
      <c r="G465" s="7" t="inlineStr">
        <is>
          <t>HYPOTHÈSE</t>
        </is>
      </c>
      <c r="H465" s="2" t="inlineStr"/>
      <c r="I465" s="8" t="inlineStr">
        <is>
          <t>Sinistre ou découverte non assurés en année 6 (+600 000 €) et campagnes +30 %</t>
        </is>
      </c>
      <c r="J465" s="2" t="inlineStr">
        <is>
          <t>Stress tests</t>
        </is>
      </c>
    </row>
    <row r="466">
      <c r="A466" s="2" t="inlineStr">
        <is>
          <t>st_travaux_choc_trav_montant</t>
        </is>
      </c>
      <c r="B466" s="2" t="inlineStr">
        <is>
          <t>Test « travaux » — choc_trav_montant</t>
        </is>
      </c>
      <c r="C466" s="14" t="n">
        <v>600000</v>
      </c>
      <c r="D466" s="14" t="n">
        <v>600000</v>
      </c>
      <c r="E466" s="14" t="n">
        <v>600000</v>
      </c>
      <c r="F466" s="2" t="inlineStr">
        <is>
          <t>paramètre</t>
        </is>
      </c>
      <c r="G466" s="7" t="inlineStr">
        <is>
          <t>HYPOTHÈSE</t>
        </is>
      </c>
      <c r="H466" s="2" t="inlineStr"/>
      <c r="I466" s="8" t="inlineStr">
        <is>
          <t>Sinistre ou découverte non assurés en année 6 (+600 000 €) et campagnes +30 %</t>
        </is>
      </c>
      <c r="J466" s="2" t="inlineStr">
        <is>
          <t>Stress tests</t>
        </is>
      </c>
    </row>
    <row r="467">
      <c r="A467" s="2" t="inlineStr">
        <is>
          <t>st_travaux_crise_an</t>
        </is>
      </c>
      <c r="B467" s="2" t="inlineStr">
        <is>
          <t>Test « travaux » — crise_an</t>
        </is>
      </c>
      <c r="C467" s="14" t="n">
        <v>0</v>
      </c>
      <c r="D467" s="14" t="n">
        <v>0</v>
      </c>
      <c r="E467" s="14" t="n">
        <v>0</v>
      </c>
      <c r="F467" s="2" t="inlineStr">
        <is>
          <t>paramètre</t>
        </is>
      </c>
      <c r="G467" s="7" t="inlineStr">
        <is>
          <t>HYPOTHÈSE</t>
        </is>
      </c>
      <c r="H467" s="2" t="inlineStr"/>
      <c r="I467" s="8" t="inlineStr">
        <is>
          <t>Sinistre ou découverte non assurés en année 6 (+600 000 €) et campagnes +30 %</t>
        </is>
      </c>
      <c r="J467" s="2" t="inlineStr">
        <is>
          <t>Stress tests</t>
        </is>
      </c>
    </row>
    <row r="468">
      <c r="A468" s="2" t="inlineStr">
        <is>
          <t>st_travaux_debut_mult</t>
        </is>
      </c>
      <c r="B468" s="2" t="inlineStr">
        <is>
          <t>Test « travaux » — debut_mult</t>
        </is>
      </c>
      <c r="C468" s="14" t="n">
        <v>99</v>
      </c>
      <c r="D468" s="14" t="n">
        <v>99</v>
      </c>
      <c r="E468" s="14" t="n">
        <v>99</v>
      </c>
      <c r="F468" s="2" t="inlineStr">
        <is>
          <t>paramètre</t>
        </is>
      </c>
      <c r="G468" s="7" t="inlineStr">
        <is>
          <t>HYPOTHÈSE</t>
        </is>
      </c>
      <c r="H468" s="2" t="inlineStr"/>
      <c r="I468" s="8" t="inlineStr">
        <is>
          <t>Sinistre ou découverte non assurés en année 6 (+600 000 €) et campagnes +30 %</t>
        </is>
      </c>
      <c r="J468" s="2" t="inlineStr">
        <is>
          <t>Stress tests</t>
        </is>
      </c>
    </row>
    <row r="469">
      <c r="A469" s="2" t="inlineStr">
        <is>
          <t>st_travaux_div_fin</t>
        </is>
      </c>
      <c r="B469" s="2" t="inlineStr">
        <is>
          <t>Test « travaux » — div_fin</t>
        </is>
      </c>
      <c r="C469" s="14" t="n">
        <v>99</v>
      </c>
      <c r="D469" s="14" t="n">
        <v>99</v>
      </c>
      <c r="E469" s="14" t="n">
        <v>99</v>
      </c>
      <c r="F469" s="2" t="inlineStr">
        <is>
          <t>paramètre</t>
        </is>
      </c>
      <c r="G469" s="7" t="inlineStr">
        <is>
          <t>HYPOTHÈSE</t>
        </is>
      </c>
      <c r="H469" s="2" t="inlineStr"/>
      <c r="I469" s="8" t="inlineStr">
        <is>
          <t>Sinistre ou découverte non assurés en année 6 (+600 000 €) et campagnes +30 %</t>
        </is>
      </c>
      <c r="J469" s="2" t="inlineStr">
        <is>
          <t>Stress tests</t>
        </is>
      </c>
    </row>
    <row r="470">
      <c r="A470" s="2" t="inlineStr">
        <is>
          <t>st_travaux_dot_rdt_delta</t>
        </is>
      </c>
      <c r="B470" s="2" t="inlineStr">
        <is>
          <t>Test « travaux » — dot_rdt_delta</t>
        </is>
      </c>
      <c r="C470" s="14" t="n">
        <v>0</v>
      </c>
      <c r="D470" s="14" t="n">
        <v>0</v>
      </c>
      <c r="E470" s="14" t="n">
        <v>0</v>
      </c>
      <c r="F470" s="2" t="inlineStr">
        <is>
          <t>paramètre</t>
        </is>
      </c>
      <c r="G470" s="7" t="inlineStr">
        <is>
          <t>HYPOTHÈSE</t>
        </is>
      </c>
      <c r="H470" s="2" t="inlineStr"/>
      <c r="I470" s="8" t="inlineStr">
        <is>
          <t>Sinistre ou découverte non assurés en année 6 (+600 000 €) et campagnes +30 %</t>
        </is>
      </c>
      <c r="J470" s="2" t="inlineStr">
        <is>
          <t>Stress tests</t>
        </is>
      </c>
    </row>
    <row r="471">
      <c r="A471" s="2" t="inlineStr">
        <is>
          <t>st_travaux_energie_debut</t>
        </is>
      </c>
      <c r="B471" s="2" t="inlineStr">
        <is>
          <t>Test « travaux » — energie_debut</t>
        </is>
      </c>
      <c r="C471" s="14" t="n">
        <v>99</v>
      </c>
      <c r="D471" s="14" t="n">
        <v>99</v>
      </c>
      <c r="E471" s="14" t="n">
        <v>99</v>
      </c>
      <c r="F471" s="2" t="inlineStr">
        <is>
          <t>paramètre</t>
        </is>
      </c>
      <c r="G471" s="7" t="inlineStr">
        <is>
          <t>HYPOTHÈSE</t>
        </is>
      </c>
      <c r="H471" s="2" t="inlineStr"/>
      <c r="I471" s="8" t="inlineStr">
        <is>
          <t>Sinistre ou découverte non assurés en année 6 (+600 000 €) et campagnes +30 %</t>
        </is>
      </c>
      <c r="J471" s="2" t="inlineStr">
        <is>
          <t>Stress tests</t>
        </is>
      </c>
    </row>
    <row r="472">
      <c r="A472" s="2" t="inlineStr">
        <is>
          <t>st_travaux_energie_fin</t>
        </is>
      </c>
      <c r="B472" s="2" t="inlineStr">
        <is>
          <t>Test « travaux » — energie_fin</t>
        </is>
      </c>
      <c r="C472" s="14" t="n">
        <v>0</v>
      </c>
      <c r="D472" s="14" t="n">
        <v>0</v>
      </c>
      <c r="E472" s="14" t="n">
        <v>0</v>
      </c>
      <c r="F472" s="2" t="inlineStr">
        <is>
          <t>paramètre</t>
        </is>
      </c>
      <c r="G472" s="7" t="inlineStr">
        <is>
          <t>HYPOTHÈSE</t>
        </is>
      </c>
      <c r="H472" s="2" t="inlineStr"/>
      <c r="I472" s="8" t="inlineStr">
        <is>
          <t>Sinistre ou découverte non assurés en année 6 (+600 000 €) et campagnes +30 %</t>
        </is>
      </c>
      <c r="J472" s="2" t="inlineStr">
        <is>
          <t>Stress tests</t>
        </is>
      </c>
    </row>
    <row r="473">
      <c r="A473" s="2" t="inlineStr">
        <is>
          <t>st_travaux_energie_mult</t>
        </is>
      </c>
      <c r="B473" s="2" t="inlineStr">
        <is>
          <t>Test « travaux » — energie_mult</t>
        </is>
      </c>
      <c r="C473" s="14" t="n">
        <v>1</v>
      </c>
      <c r="D473" s="14" t="n">
        <v>1</v>
      </c>
      <c r="E473" s="14" t="n">
        <v>1</v>
      </c>
      <c r="F473" s="2" t="inlineStr">
        <is>
          <t>paramètre</t>
        </is>
      </c>
      <c r="G473" s="7" t="inlineStr">
        <is>
          <t>HYPOTHÈSE</t>
        </is>
      </c>
      <c r="H473" s="2" t="inlineStr"/>
      <c r="I473" s="8" t="inlineStr">
        <is>
          <t>Sinistre ou découverte non assurés en année 6 (+600 000 €) et campagnes +30 %</t>
        </is>
      </c>
      <c r="J473" s="2" t="inlineStr">
        <is>
          <t>Stress tests</t>
        </is>
      </c>
    </row>
    <row r="474">
      <c r="A474" s="2" t="inlineStr">
        <is>
          <t>st_travaux_g_sal_extra</t>
        </is>
      </c>
      <c r="B474" s="2" t="inlineStr">
        <is>
          <t>Test « travaux » — g_sal_extra</t>
        </is>
      </c>
      <c r="C474" s="14" t="n">
        <v>0</v>
      </c>
      <c r="D474" s="14" t="n">
        <v>0</v>
      </c>
      <c r="E474" s="14" t="n">
        <v>0</v>
      </c>
      <c r="F474" s="2" t="inlineStr">
        <is>
          <t>paramètre</t>
        </is>
      </c>
      <c r="G474" s="7" t="inlineStr">
        <is>
          <t>HYPOTHÈSE</t>
        </is>
      </c>
      <c r="H474" s="2" t="inlineStr"/>
      <c r="I474" s="8" t="inlineStr">
        <is>
          <t>Sinistre ou découverte non assurés en année 6 (+600 000 €) et campagnes +30 %</t>
        </is>
      </c>
      <c r="J474" s="2" t="inlineStr">
        <is>
          <t>Stress tests</t>
        </is>
      </c>
    </row>
    <row r="475">
      <c r="A475" s="2" t="inlineStr">
        <is>
          <t>st_travaux_mult_A</t>
        </is>
      </c>
      <c r="B475" s="2" t="inlineStr">
        <is>
          <t>Test « travaux » — mult_A</t>
        </is>
      </c>
      <c r="C475" s="14" t="n">
        <v>1</v>
      </c>
      <c r="D475" s="14" t="n">
        <v>1</v>
      </c>
      <c r="E475" s="14" t="n">
        <v>1</v>
      </c>
      <c r="F475" s="2" t="inlineStr">
        <is>
          <t>paramètre</t>
        </is>
      </c>
      <c r="G475" s="7" t="inlineStr">
        <is>
          <t>HYPOTHÈSE</t>
        </is>
      </c>
      <c r="H475" s="2" t="inlineStr"/>
      <c r="I475" s="8" t="inlineStr">
        <is>
          <t>Sinistre ou découverte non assurés en année 6 (+600 000 €) et campagnes +30 %</t>
        </is>
      </c>
      <c r="J475" s="2" t="inlineStr">
        <is>
          <t>Stress tests</t>
        </is>
      </c>
    </row>
    <row r="476">
      <c r="A476" s="2" t="inlineStr">
        <is>
          <t>st_travaux_mult_B</t>
        </is>
      </c>
      <c r="B476" s="2" t="inlineStr">
        <is>
          <t>Test « travaux » — mult_B</t>
        </is>
      </c>
      <c r="C476" s="14" t="n">
        <v>1</v>
      </c>
      <c r="D476" s="14" t="n">
        <v>1</v>
      </c>
      <c r="E476" s="14" t="n">
        <v>1</v>
      </c>
      <c r="F476" s="2" t="inlineStr">
        <is>
          <t>paramètre</t>
        </is>
      </c>
      <c r="G476" s="7" t="inlineStr">
        <is>
          <t>HYPOTHÈSE</t>
        </is>
      </c>
      <c r="H476" s="2" t="inlineStr"/>
      <c r="I476" s="8" t="inlineStr">
        <is>
          <t>Sinistre ou découverte non assurés en année 6 (+600 000 €) et campagnes +30 %</t>
        </is>
      </c>
      <c r="J476" s="2" t="inlineStr">
        <is>
          <t>Stress tests</t>
        </is>
      </c>
    </row>
    <row r="477">
      <c r="A477" s="2" t="inlineStr">
        <is>
          <t>st_travaux_mult_C</t>
        </is>
      </c>
      <c r="B477" s="2" t="inlineStr">
        <is>
          <t>Test « travaux » — mult_C</t>
        </is>
      </c>
      <c r="C477" s="14" t="n">
        <v>1</v>
      </c>
      <c r="D477" s="14" t="n">
        <v>1</v>
      </c>
      <c r="E477" s="14" t="n">
        <v>1</v>
      </c>
      <c r="F477" s="2" t="inlineStr">
        <is>
          <t>paramètre</t>
        </is>
      </c>
      <c r="G477" s="7" t="inlineStr">
        <is>
          <t>HYPOTHÈSE</t>
        </is>
      </c>
      <c r="H477" s="2" t="inlineStr"/>
      <c r="I477" s="8" t="inlineStr">
        <is>
          <t>Sinistre ou découverte non assurés en année 6 (+600 000 €) et campagnes +30 %</t>
        </is>
      </c>
      <c r="J477" s="2" t="inlineStr">
        <is>
          <t>Stress tests</t>
        </is>
      </c>
    </row>
    <row r="478">
      <c r="A478" s="2" t="inlineStr">
        <is>
          <t>st_travaux_mult_campagne</t>
        </is>
      </c>
      <c r="B478" s="2" t="inlineStr">
        <is>
          <t>Test « travaux » — mult_campagne</t>
        </is>
      </c>
      <c r="C478" s="14" t="n">
        <v>1.3</v>
      </c>
      <c r="D478" s="14" t="n">
        <v>1.3</v>
      </c>
      <c r="E478" s="14" t="n">
        <v>1.3</v>
      </c>
      <c r="F478" s="2" t="inlineStr">
        <is>
          <t>paramètre</t>
        </is>
      </c>
      <c r="G478" s="7" t="inlineStr">
        <is>
          <t>HYPOTHÈSE</t>
        </is>
      </c>
      <c r="H478" s="2" t="inlineStr"/>
      <c r="I478" s="8" t="inlineStr">
        <is>
          <t>Sinistre ou découverte non assurés en année 6 (+600 000 €) et campagnes +30 %</t>
        </is>
      </c>
      <c r="J478" s="2" t="inlineStr">
        <is>
          <t>Stress tests</t>
        </is>
      </c>
    </row>
    <row r="479">
      <c r="A479" s="5" t="inlineStr">
        <is>
          <t>— Énergie et eau —</t>
        </is>
      </c>
    </row>
    <row r="480">
      <c r="A480" s="2" t="inlineStr">
        <is>
          <t>S1_eau</t>
        </is>
      </c>
      <c r="B480" s="2" t="inlineStr">
        <is>
          <t>S1 — eau et assainissement</t>
        </is>
      </c>
      <c r="C480" s="6" t="n">
        <v>1500</v>
      </c>
      <c r="D480" s="6" t="n">
        <v>2500</v>
      </c>
      <c r="E480" s="6" t="n">
        <v>4000</v>
      </c>
      <c r="F480" s="2" t="inlineStr">
        <is>
          <t>€/an TTC</t>
        </is>
      </c>
      <c r="G480" s="7" t="inlineStr">
        <is>
          <t>HYPOTHÈSE</t>
        </is>
      </c>
      <c r="H480" s="2" t="inlineStr">
        <is>
          <t>R1-32</t>
        </is>
      </c>
      <c r="I480" s="8" t="inlineStr">
        <is>
          <t>Repère : 432 €/an pour un petit château sans chevaux (déclaration d'un vendeur).</t>
        </is>
      </c>
      <c r="J480" s="2" t="inlineStr">
        <is>
          <t>Énergie et eau</t>
        </is>
      </c>
    </row>
    <row r="481">
      <c r="A481" s="2" t="inlineStr">
        <is>
          <t>S1_elec_kwh</t>
        </is>
      </c>
      <c r="B481" s="2" t="inlineStr">
        <is>
          <t>S1 — électricité spécifique (maison, écurie, extérieurs)</t>
        </is>
      </c>
      <c r="C481" s="14" t="n">
        <v>15000</v>
      </c>
      <c r="D481" s="14" t="n">
        <v>20000</v>
      </c>
      <c r="E481" s="14" t="n">
        <v>30000</v>
      </c>
      <c r="F481" s="2" t="inlineStr">
        <is>
          <t>kWh/an</t>
        </is>
      </c>
      <c r="G481" s="7" t="inlineStr">
        <is>
          <t>HYPOTHÈSE</t>
        </is>
      </c>
      <c r="H481" s="2" t="inlineStr"/>
      <c r="I481" s="8" t="inlineStr"/>
      <c r="J481" s="2" t="inlineStr">
        <is>
          <t>Énergie et eau</t>
        </is>
      </c>
    </row>
    <row r="482">
      <c r="A482" s="2" t="inlineStr">
        <is>
          <t>S1_surf_chauffee</t>
        </is>
      </c>
      <c r="B482" s="2" t="inlineStr">
        <is>
          <t>S1 — surface chauffée à confort</t>
        </is>
      </c>
      <c r="C482" s="14" t="n">
        <v>350</v>
      </c>
      <c r="D482" s="14" t="n">
        <v>450</v>
      </c>
      <c r="E482" s="14" t="n">
        <v>560</v>
      </c>
      <c r="F482" s="2" t="inlineStr">
        <is>
          <t>m²</t>
        </is>
      </c>
      <c r="G482" s="7" t="inlineStr">
        <is>
          <t>HYPOTHÈSE</t>
        </is>
      </c>
      <c r="H482" s="2" t="inlineStr">
        <is>
          <t>R1</t>
        </is>
      </c>
      <c r="I482" s="8" t="inlineStr">
        <is>
          <t>50 à 80 % des 700 m² habitables (R1 § 9.1).</t>
        </is>
      </c>
      <c r="J482" s="2" t="inlineStr">
        <is>
          <t>Énergie et eau</t>
        </is>
      </c>
    </row>
    <row r="483">
      <c r="A483" s="2" t="inlineStr">
        <is>
          <t>S2_eau</t>
        </is>
      </c>
      <c r="B483" s="2" t="inlineStr">
        <is>
          <t>S2 — eau et assainissement</t>
        </is>
      </c>
      <c r="C483" s="6" t="n">
        <v>4000</v>
      </c>
      <c r="D483" s="6" t="n">
        <v>7000</v>
      </c>
      <c r="E483" s="6" t="n">
        <v>12000</v>
      </c>
      <c r="F483" s="2" t="inlineStr">
        <is>
          <t>€/an TTC</t>
        </is>
      </c>
      <c r="G483" s="7" t="inlineStr">
        <is>
          <t>HYPOTHÈSE</t>
        </is>
      </c>
      <c r="H483" s="2" t="inlineStr"/>
      <c r="I483" s="8" t="inlineStr"/>
      <c r="J483" s="2" t="inlineStr">
        <is>
          <t>Énergie et eau</t>
        </is>
      </c>
    </row>
    <row r="484">
      <c r="A484" s="2" t="inlineStr">
        <is>
          <t>S2_elec_kwh</t>
        </is>
      </c>
      <c r="B484" s="2" t="inlineStr">
        <is>
          <t>S2 — électricité spécifique (dont manège éclairé, écuries, ateliers)</t>
        </is>
      </c>
      <c r="C484" s="14" t="n">
        <v>40000</v>
      </c>
      <c r="D484" s="14" t="n">
        <v>60000</v>
      </c>
      <c r="E484" s="14" t="n">
        <v>90000</v>
      </c>
      <c r="F484" s="2" t="inlineStr">
        <is>
          <t>kWh/an</t>
        </is>
      </c>
      <c r="G484" s="7" t="inlineStr">
        <is>
          <t>HYPOTHÈSE</t>
        </is>
      </c>
      <c r="H484" s="2" t="inlineStr"/>
      <c r="I484" s="8" t="inlineStr"/>
      <c r="J484" s="2" t="inlineStr">
        <is>
          <t>Énergie et eau</t>
        </is>
      </c>
    </row>
    <row r="485">
      <c r="A485" s="2" t="inlineStr">
        <is>
          <t>S2_surf_chauffee</t>
        </is>
      </c>
      <c r="B485" s="2" t="inlineStr">
        <is>
          <t>S2 — surface chauffée à confort</t>
        </is>
      </c>
      <c r="C485" s="14" t="n">
        <v>800</v>
      </c>
      <c r="D485" s="14" t="n">
        <v>1000</v>
      </c>
      <c r="E485" s="14" t="n">
        <v>1200</v>
      </c>
      <c r="F485" s="2" t="inlineStr">
        <is>
          <t>m²</t>
        </is>
      </c>
      <c r="G485" s="7" t="inlineStr">
        <is>
          <t>HYPOTHÈSE</t>
        </is>
      </c>
      <c r="H485" s="2" t="inlineStr">
        <is>
          <t>R1</t>
        </is>
      </c>
      <c r="I485" s="8" t="inlineStr">
        <is>
          <t>40 à 60 % du château.</t>
        </is>
      </c>
      <c r="J485" s="2" t="inlineStr">
        <is>
          <t>Énergie et eau</t>
        </is>
      </c>
    </row>
    <row r="486">
      <c r="A486" s="2" t="inlineStr">
        <is>
          <t>S3_eau</t>
        </is>
      </c>
      <c r="B486" s="2" t="inlineStr">
        <is>
          <t>S3 — eau et assainissement (dont arrosage des jardins)</t>
        </is>
      </c>
      <c r="C486" s="6" t="n">
        <v>10000</v>
      </c>
      <c r="D486" s="6" t="n">
        <v>18000</v>
      </c>
      <c r="E486" s="6" t="n">
        <v>30000</v>
      </c>
      <c r="F486" s="2" t="inlineStr">
        <is>
          <t>€/an TTC</t>
        </is>
      </c>
      <c r="G486" s="7" t="inlineStr">
        <is>
          <t>HYPOTHÈSE</t>
        </is>
      </c>
      <c r="H486" s="2" t="inlineStr"/>
      <c r="I486" s="8" t="inlineStr"/>
      <c r="J486" s="2" t="inlineStr">
        <is>
          <t>Énergie et eau</t>
        </is>
      </c>
    </row>
    <row r="487">
      <c r="A487" s="2" t="inlineStr">
        <is>
          <t>S3_elec_kwh</t>
        </is>
      </c>
      <c r="B487" s="2" t="inlineStr">
        <is>
          <t>S3 — électricité spécifique</t>
        </is>
      </c>
      <c r="C487" s="14" t="n">
        <v>100000</v>
      </c>
      <c r="D487" s="14" t="n">
        <v>150000</v>
      </c>
      <c r="E487" s="14" t="n">
        <v>220000</v>
      </c>
      <c r="F487" s="2" t="inlineStr">
        <is>
          <t>kWh/an</t>
        </is>
      </c>
      <c r="G487" s="7" t="inlineStr">
        <is>
          <t>HYPOTHÈSE</t>
        </is>
      </c>
      <c r="H487" s="2" t="inlineStr"/>
      <c r="I487" s="8" t="inlineStr"/>
      <c r="J487" s="2" t="inlineStr">
        <is>
          <t>Énergie et eau</t>
        </is>
      </c>
    </row>
    <row r="488">
      <c r="A488" s="2" t="inlineStr">
        <is>
          <t>S3_surf_chauffee</t>
        </is>
      </c>
      <c r="B488" s="2" t="inlineStr">
        <is>
          <t>S3 — surface chauffée à confort</t>
        </is>
      </c>
      <c r="C488" s="14" t="n">
        <v>1350</v>
      </c>
      <c r="D488" s="14" t="n">
        <v>1800</v>
      </c>
      <c r="E488" s="14" t="n">
        <v>2250</v>
      </c>
      <c r="F488" s="2" t="inlineStr">
        <is>
          <t>m²</t>
        </is>
      </c>
      <c r="G488" s="7" t="inlineStr">
        <is>
          <t>HYPOTHÈSE</t>
        </is>
      </c>
      <c r="H488" s="2" t="inlineStr">
        <is>
          <t>R1</t>
        </is>
      </c>
      <c r="I488" s="8" t="inlineStr">
        <is>
          <t>30 à 50 % du château.</t>
        </is>
      </c>
      <c r="J488" s="2" t="inlineStr">
        <is>
          <t>Énergie et eau</t>
        </is>
      </c>
    </row>
    <row r="489">
      <c r="A489" s="2" t="inlineStr">
        <is>
          <t>chauffage_kwh_m2</t>
        </is>
      </c>
      <c r="B489" s="2" t="inlineStr">
        <is>
          <t>Consommation de chauffage et d'eau chaude par m² chauffé</t>
        </is>
      </c>
      <c r="C489" s="14" t="n">
        <v>150</v>
      </c>
      <c r="D489" s="14" t="n">
        <v>220</v>
      </c>
      <c r="E489" s="14" t="n">
        <v>300</v>
      </c>
      <c r="F489" s="2" t="inlineStr">
        <is>
          <t>kWh/m²/an</t>
        </is>
      </c>
      <c r="G489" s="7" t="inlineStr">
        <is>
          <t>HYPOTHÈSE</t>
        </is>
      </c>
      <c r="H489" s="2" t="inlineStr">
        <is>
          <t>R1-21</t>
        </is>
      </c>
      <c r="I489" s="8" t="inlineStr">
        <is>
          <t>Aucune mesure de château trouvée. Repère : le SDES juge « très énergivore » un logement au-delà de 450 kWh/m² d'énergie finale.</t>
        </is>
      </c>
      <c r="J489" s="2" t="inlineStr">
        <is>
          <t>Énergie et eau</t>
        </is>
      </c>
    </row>
    <row r="490">
      <c r="A490" s="2" t="inlineStr">
        <is>
          <t>horsgel_kwh_m2</t>
        </is>
      </c>
      <c r="B490" s="2" t="inlineStr">
        <is>
          <t>Consommation hors-gel par m² non habité du château</t>
        </is>
      </c>
      <c r="C490" s="14" t="n">
        <v>15</v>
      </c>
      <c r="D490" s="14" t="n">
        <v>30</v>
      </c>
      <c r="E490" s="14" t="n">
        <v>50</v>
      </c>
      <c r="F490" s="2" t="inlineStr">
        <is>
          <t>kWh/m²/an</t>
        </is>
      </c>
      <c r="G490" s="7" t="inlineStr">
        <is>
          <t>HYPOTHÈSE</t>
        </is>
      </c>
      <c r="H490" s="2" t="inlineStr"/>
      <c r="I490" s="8" t="inlineStr">
        <is>
          <t>Maintien hors-gel et lutte contre l'humidité.</t>
        </is>
      </c>
      <c r="J490" s="2" t="inlineStr">
        <is>
          <t>Énergie et eau</t>
        </is>
      </c>
    </row>
    <row r="491">
      <c r="A491" s="2" t="inlineStr">
        <is>
          <t>prix_chaleur_kwh</t>
        </is>
      </c>
      <c r="B491" s="2" t="inlineStr">
        <is>
          <t>Prix de l'énergie de chauffage livrée</t>
        </is>
      </c>
      <c r="C491" s="15" t="n">
        <v>0.1</v>
      </c>
      <c r="D491" s="15" t="n">
        <v>0.15</v>
      </c>
      <c r="E491" s="15" t="n">
        <v>0.2</v>
      </c>
      <c r="F491" s="2" t="inlineStr">
        <is>
          <t>€ TTC/kWh</t>
        </is>
      </c>
      <c r="G491" s="12" t="inlineStr">
        <is>
          <t>SOURCÉ</t>
        </is>
      </c>
      <c r="H491" s="2" t="inlineStr">
        <is>
          <t>R1-22; R1-25</t>
        </is>
      </c>
      <c r="I491" s="8" t="inlineStr">
        <is>
          <t>Bornes : granulés en vrac 10,4 c€ TTC/kWh (2023, ADEME repris par un tiers) ; gaz, prix repère 19,49 c€ TTC/kWh au 1er novembre 2026.</t>
        </is>
      </c>
      <c r="J491" s="2" t="inlineStr">
        <is>
          <t>Énergie et eau</t>
        </is>
      </c>
    </row>
    <row r="492">
      <c r="A492" s="2" t="inlineStr">
        <is>
          <t>prix_elec_kwh</t>
        </is>
      </c>
      <c r="B492" s="2" t="inlineStr">
        <is>
          <t>Prix moyen de l'électricité</t>
        </is>
      </c>
      <c r="C492" s="15" t="n">
        <v>0.2</v>
      </c>
      <c r="D492" s="15" t="n">
        <v>0.238</v>
      </c>
      <c r="E492" s="15" t="n">
        <v>0.28</v>
      </c>
      <c r="F492" s="2" t="inlineStr">
        <is>
          <t>€ TTC/kWh</t>
        </is>
      </c>
      <c r="G492" s="11" t="inlineStr">
        <is>
          <t>ESTIMATION</t>
        </is>
      </c>
      <c r="H492" s="2" t="inlineStr">
        <is>
          <t>R1-24</t>
        </is>
      </c>
      <c r="I492" s="8" t="inlineStr">
        <is>
          <t>Tarif réglementé au 1er août 2026 : 1 072 € TTC pour 4,5 MWh, soit ≈ 238 €/MWh, abonnement compris.</t>
        </is>
      </c>
      <c r="J492" s="2" t="inlineStr">
        <is>
          <t>Énergie et eau</t>
        </is>
      </c>
    </row>
  </sheetData>
  <mergeCells count="1">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5"/>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22" customWidth="1" min="1" max="1"/>
    <col width="62" customWidth="1" min="2" max="2"/>
    <col width="20" customWidth="1" min="3" max="3"/>
    <col width="1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BUDGET ANNUEL DE FONCTIONNEMENT — trois domaines types, trois cas (€ 2026 TTC)</t>
        </is>
      </c>
    </row>
    <row r="2" ht="54" customHeight="1">
      <c r="A2" s="3" t="inlineStr">
        <is>
          <t>Chaque cellule est une formule construite à partir des hypothèses nommées (feuille Hypotheses). La provision de gros entretien retient le maximum de deux méthodes indépendantes (composants et ratio de la valeur de restauration).</t>
        </is>
      </c>
    </row>
    <row r="4">
      <c r="A4" s="4" t="inlineStr">
        <is>
          <t>Ligne</t>
        </is>
      </c>
      <c r="B4" s="4" t="inlineStr">
        <is>
          <t>Libellé</t>
        </is>
      </c>
      <c r="C4" s="4" t="inlineStr">
        <is>
          <t>Catégorie</t>
        </is>
      </c>
      <c r="D4" s="4" t="inlineStr">
        <is>
          <t>TVA contenue</t>
        </is>
      </c>
      <c r="E4" s="4" t="inlineStr">
        <is>
          <t>S1 Favorable</t>
        </is>
      </c>
      <c r="F4" s="4" t="inlineStr">
        <is>
          <t>S1 Central</t>
        </is>
      </c>
      <c r="G4" s="4" t="inlineStr">
        <is>
          <t>S1 Défavorable</t>
        </is>
      </c>
      <c r="H4" s="4" t="inlineStr">
        <is>
          <t>S2 Favorable</t>
        </is>
      </c>
      <c r="I4" s="4" t="inlineStr">
        <is>
          <t>S2 Central</t>
        </is>
      </c>
      <c r="J4" s="4" t="inlineStr">
        <is>
          <t>S2 Défavorable</t>
        </is>
      </c>
      <c r="K4" s="4" t="inlineStr">
        <is>
          <t>S3 Favorable</t>
        </is>
      </c>
      <c r="L4" s="4" t="inlineStr">
        <is>
          <t>S3 Central</t>
        </is>
      </c>
      <c r="M4" s="4" t="inlineStr">
        <is>
          <t>S3 Défavorable</t>
        </is>
      </c>
    </row>
    <row r="5">
      <c r="A5" s="2" t="inlineStr">
        <is>
          <t>valeur_reconstruction</t>
        </is>
      </c>
      <c r="B5" s="2" t="inlineStr">
        <is>
          <t>Valeur de reconstruction à l'identique (château + dépendances), base de calcul</t>
        </is>
      </c>
      <c r="C5" s="2" t="inlineStr">
        <is>
          <t>Base</t>
        </is>
      </c>
      <c r="D5" s="16" t="n">
        <v>0</v>
      </c>
      <c r="E5" s="17">
        <f>S1_surf_chateau*S1_vr_m2_fav+S1_surf_dep*S1_vr_m2_fav*vr_dep_ratio_fav</f>
        <v/>
      </c>
      <c r="F5" s="17">
        <f>S1_surf_chateau*S1_vr_m2+S1_surf_dep*S1_vr_m2*vr_dep_ratio</f>
        <v/>
      </c>
      <c r="G5" s="17">
        <f>S1_surf_chateau*S1_vr_m2_def+S1_surf_dep*S1_vr_m2_def*vr_dep_ratio_def</f>
        <v/>
      </c>
      <c r="H5" s="17">
        <f>S2_surf_chateau*S2_vr_m2_fav+S2_surf_dep*S2_vr_m2_fav*vr_dep_ratio_fav</f>
        <v/>
      </c>
      <c r="I5" s="17">
        <f>S2_surf_chateau*S2_vr_m2+S2_surf_dep*S2_vr_m2*vr_dep_ratio</f>
        <v/>
      </c>
      <c r="J5" s="17">
        <f>S2_surf_chateau*S2_vr_m2_def+S2_surf_dep*S2_vr_m2_def*vr_dep_ratio_def</f>
        <v/>
      </c>
      <c r="K5" s="17">
        <f>S3_surf_chateau*S3_vr_m2_fav+S3_surf_dep*S3_vr_m2_fav*vr_dep_ratio_fav</f>
        <v/>
      </c>
      <c r="L5" s="17">
        <f>S3_surf_chateau*S3_vr_m2+S3_surf_dep*S3_vr_m2*vr_dep_ratio</f>
        <v/>
      </c>
      <c r="M5" s="17">
        <f>S3_surf_chateau*S3_vr_m2_def+S3_surf_dep*S3_vr_m2_def*vr_dep_ratio_def</f>
        <v/>
      </c>
    </row>
    <row r="6">
      <c r="A6" s="2" t="inlineStr">
        <is>
          <t>bati_courant</t>
        </is>
      </c>
      <c r="B6" s="2" t="inlineStr">
        <is>
          <t>Entretien courant du bâti (petites réparations, contrats, contrôles)</t>
        </is>
      </c>
      <c r="C6" s="2" t="inlineStr">
        <is>
          <t>A. Bâti</t>
        </is>
      </c>
      <c r="D6" s="16" t="n">
        <v>0.1</v>
      </c>
      <c r="E6" s="17">
        <f>E5*taux_entretien_courant_fav</f>
        <v/>
      </c>
      <c r="F6" s="17">
        <f>F5*taux_entretien_courant</f>
        <v/>
      </c>
      <c r="G6" s="17">
        <f>G5*taux_entretien_courant_def</f>
        <v/>
      </c>
      <c r="H6" s="17">
        <f>H5*taux_entretien_courant_fav</f>
        <v/>
      </c>
      <c r="I6" s="17">
        <f>I5*taux_entretien_courant</f>
        <v/>
      </c>
      <c r="J6" s="17">
        <f>J5*taux_entretien_courant_def</f>
        <v/>
      </c>
      <c r="K6" s="17">
        <f>K5*taux_entretien_courant_fav</f>
        <v/>
      </c>
      <c r="L6" s="17">
        <f>L5*taux_entretien_courant</f>
        <v/>
      </c>
      <c r="M6" s="17">
        <f>M5*taux_entretien_courant_def</f>
        <v/>
      </c>
    </row>
    <row r="7">
      <c r="A7" s="2" t="inlineStr">
        <is>
          <t>bati_ge</t>
        </is>
      </c>
      <c r="B7" s="2" t="inlineStr">
        <is>
          <t>Provision de gros entretien et de conservation (campagnes de toiture, maçonnerie, menuiseries, réseaux)</t>
        </is>
      </c>
      <c r="C7" s="2" t="inlineStr">
        <is>
          <t>A. Bâti</t>
        </is>
      </c>
      <c r="D7" s="16" t="n">
        <v>0.1</v>
      </c>
      <c r="E7" s="17">
        <f>E5*taux_gros_entretien_fav</f>
        <v/>
      </c>
      <c r="F7" s="17">
        <f>F5*taux_gros_entretien</f>
        <v/>
      </c>
      <c r="G7" s="17">
        <f>G5*taux_gros_entretien_def</f>
        <v/>
      </c>
      <c r="H7" s="17">
        <f>H5*taux_gros_entretien_fav</f>
        <v/>
      </c>
      <c r="I7" s="17">
        <f>I5*taux_gros_entretien</f>
        <v/>
      </c>
      <c r="J7" s="17">
        <f>J5*taux_gros_entretien_def</f>
        <v/>
      </c>
      <c r="K7" s="17">
        <f>K5*taux_gros_entretien_fav</f>
        <v/>
      </c>
      <c r="L7" s="17">
        <f>L5*taux_gros_entretien</f>
        <v/>
      </c>
      <c r="M7" s="17">
        <f>M5*taux_gros_entretien_def</f>
        <v/>
      </c>
    </row>
    <row r="8">
      <c r="A8" s="2" t="inlineStr">
        <is>
          <t>imprevus_travaux</t>
        </is>
      </c>
      <c r="B8" s="2" t="inlineStr">
        <is>
          <t>Aléas de chantier et découvertes (en % du gros entretien)</t>
        </is>
      </c>
      <c r="C8" s="2" t="inlineStr">
        <is>
          <t>A. Bâti</t>
        </is>
      </c>
      <c r="D8" s="16" t="n">
        <v>0.1</v>
      </c>
      <c r="E8" s="17">
        <f>E7*taux_aleas_travaux_fav</f>
        <v/>
      </c>
      <c r="F8" s="17">
        <f>F7*taux_aleas_travaux</f>
        <v/>
      </c>
      <c r="G8" s="17">
        <f>G7*taux_aleas_travaux_def</f>
        <v/>
      </c>
      <c r="H8" s="17">
        <f>H7*taux_aleas_travaux_fav</f>
        <v/>
      </c>
      <c r="I8" s="17">
        <f>I7*taux_aleas_travaux</f>
        <v/>
      </c>
      <c r="J8" s="17">
        <f>J7*taux_aleas_travaux_def</f>
        <v/>
      </c>
      <c r="K8" s="17">
        <f>K7*taux_aleas_travaux_fav</f>
        <v/>
      </c>
      <c r="L8" s="17">
        <f>L7*taux_aleas_travaux</f>
        <v/>
      </c>
      <c r="M8" s="17">
        <f>M7*taux_aleas_travaux_def</f>
        <v/>
      </c>
    </row>
    <row r="9">
      <c r="A9" s="2" t="inlineStr">
        <is>
          <t>securite</t>
        </is>
      </c>
      <c r="B9" s="2" t="inlineStr">
        <is>
          <t>Sécurité : alarme, télésurveillance, protection incendie</t>
        </is>
      </c>
      <c r="C9" s="2" t="inlineStr">
        <is>
          <t>A. Bâti</t>
        </is>
      </c>
      <c r="D9" s="16" t="n">
        <v>0.2</v>
      </c>
      <c r="E9" s="17">
        <f>S1_securite_fav</f>
        <v/>
      </c>
      <c r="F9" s="17">
        <f>S1_securite</f>
        <v/>
      </c>
      <c r="G9" s="17">
        <f>S1_securite_def</f>
        <v/>
      </c>
      <c r="H9" s="17">
        <f>S2_securite_fav</f>
        <v/>
      </c>
      <c r="I9" s="17">
        <f>S2_securite</f>
        <v/>
      </c>
      <c r="J9" s="17">
        <f>S2_securite_def</f>
        <v/>
      </c>
      <c r="K9" s="17">
        <f>S3_securite_fav</f>
        <v/>
      </c>
      <c r="L9" s="17">
        <f>S3_securite</f>
        <v/>
      </c>
      <c r="M9" s="17">
        <f>S3_securite_def</f>
        <v/>
      </c>
    </row>
    <row r="10">
      <c r="A10" s="2" t="inlineStr">
        <is>
          <t>pers_direction</t>
        </is>
      </c>
      <c r="B10" s="2" t="inlineStr">
        <is>
          <t>Personnel : régisseur ou directeur de domaine</t>
        </is>
      </c>
      <c r="C10" s="2" t="inlineStr">
        <is>
          <t>B. Personnel</t>
        </is>
      </c>
      <c r="D10" s="16" t="n">
        <v>0</v>
      </c>
      <c r="E10" s="17">
        <f>S1_etp_direction*S1_cout_direction_fav</f>
        <v/>
      </c>
      <c r="F10" s="17">
        <f>S1_etp_direction*S1_cout_direction</f>
        <v/>
      </c>
      <c r="G10" s="17">
        <f>S1_etp_direction*S1_cout_direction_def</f>
        <v/>
      </c>
      <c r="H10" s="17">
        <f>S2_etp_direction*S2_cout_direction_fav</f>
        <v/>
      </c>
      <c r="I10" s="17">
        <f>S2_etp_direction*S2_cout_direction</f>
        <v/>
      </c>
      <c r="J10" s="17">
        <f>S2_etp_direction*S2_cout_direction_def</f>
        <v/>
      </c>
      <c r="K10" s="17">
        <f>S3_etp_direction*S3_cout_direction_fav</f>
        <v/>
      </c>
      <c r="L10" s="17">
        <f>S3_etp_direction*S3_cout_direction</f>
        <v/>
      </c>
      <c r="M10" s="17">
        <f>S3_etp_direction*S3_cout_direction_def</f>
        <v/>
      </c>
    </row>
    <row r="11">
      <c r="A11" s="2" t="inlineStr">
        <is>
          <t>pers_admin</t>
        </is>
      </c>
      <c r="B11" s="2" t="inlineStr">
        <is>
          <t>Personnel : assistant(e) administratif(ve) et comptable</t>
        </is>
      </c>
      <c r="C11" s="2" t="inlineStr">
        <is>
          <t>B. Personnel</t>
        </is>
      </c>
      <c r="D11" s="16" t="n">
        <v>0</v>
      </c>
      <c r="E11" s="17">
        <f>S1_etp_admin*cout_admin_salarie_fav</f>
        <v/>
      </c>
      <c r="F11" s="17">
        <f>S1_etp_admin*cout_admin_salarie</f>
        <v/>
      </c>
      <c r="G11" s="17">
        <f>S1_etp_admin*cout_admin_salarie_def</f>
        <v/>
      </c>
      <c r="H11" s="17">
        <f>S2_etp_admin*cout_admin_salarie_fav</f>
        <v/>
      </c>
      <c r="I11" s="17">
        <f>S2_etp_admin*cout_admin_salarie</f>
        <v/>
      </c>
      <c r="J11" s="17">
        <f>S2_etp_admin*cout_admin_salarie_def</f>
        <v/>
      </c>
      <c r="K11" s="17">
        <f>S3_etp_admin*cout_admin_salarie_fav</f>
        <v/>
      </c>
      <c r="L11" s="17">
        <f>S3_etp_admin*cout_admin_salarie</f>
        <v/>
      </c>
      <c r="M11" s="17">
        <f>S3_etp_admin*cout_admin_salarie_def</f>
        <v/>
      </c>
    </row>
    <row r="12">
      <c r="A12" s="2" t="inlineStr">
        <is>
          <t>pers_chef_jardinier</t>
        </is>
      </c>
      <c r="B12" s="2" t="inlineStr">
        <is>
          <t>Personnel : chef jardinier</t>
        </is>
      </c>
      <c r="C12" s="2" t="inlineStr">
        <is>
          <t>B. Personnel</t>
        </is>
      </c>
      <c r="D12" s="16" t="n">
        <v>0</v>
      </c>
      <c r="E12" s="17">
        <f>S1_etp_chef_jardinier*cout_chef_jardinier_fav</f>
        <v/>
      </c>
      <c r="F12" s="17">
        <f>S1_etp_chef_jardinier*cout_chef_jardinier</f>
        <v/>
      </c>
      <c r="G12" s="17">
        <f>S1_etp_chef_jardinier*cout_chef_jardinier_def</f>
        <v/>
      </c>
      <c r="H12" s="17">
        <f>S2_etp_chef_jardinier*cout_chef_jardinier_fav</f>
        <v/>
      </c>
      <c r="I12" s="17">
        <f>S2_etp_chef_jardinier*cout_chef_jardinier</f>
        <v/>
      </c>
      <c r="J12" s="17">
        <f>S2_etp_chef_jardinier*cout_chef_jardinier_def</f>
        <v/>
      </c>
      <c r="K12" s="17">
        <f>S3_etp_chef_jardinier*cout_chef_jardinier_fav</f>
        <v/>
      </c>
      <c r="L12" s="17">
        <f>S3_etp_chef_jardinier*cout_chef_jardinier</f>
        <v/>
      </c>
      <c r="M12" s="17">
        <f>S3_etp_chef_jardinier*cout_chef_jardinier_def</f>
        <v/>
      </c>
    </row>
    <row r="13">
      <c r="A13" s="2" t="inlineStr">
        <is>
          <t>pers_jardins</t>
        </is>
      </c>
      <c r="B13" s="2" t="inlineStr">
        <is>
          <t>Personnel : jardiniers</t>
        </is>
      </c>
      <c r="C13" s="2" t="inlineStr">
        <is>
          <t>B. Personnel</t>
        </is>
      </c>
      <c r="D13" s="16" t="n">
        <v>0</v>
      </c>
      <c r="E13" s="17">
        <f>S1_etp_jardin*cout_jardinier_fav</f>
        <v/>
      </c>
      <c r="F13" s="17">
        <f>S1_etp_jardin*cout_jardinier</f>
        <v/>
      </c>
      <c r="G13" s="17">
        <f>S1_etp_jardin*cout_jardinier_def</f>
        <v/>
      </c>
      <c r="H13" s="17">
        <f>S2_etp_jardin*cout_jardinier_fav</f>
        <v/>
      </c>
      <c r="I13" s="17">
        <f>S2_etp_jardin*cout_jardinier</f>
        <v/>
      </c>
      <c r="J13" s="17">
        <f>S2_etp_jardin*cout_jardinier_def</f>
        <v/>
      </c>
      <c r="K13" s="17">
        <f>S3_etp_jardin*cout_jardinier_fav</f>
        <v/>
      </c>
      <c r="L13" s="17">
        <f>S3_etp_jardin*cout_jardinier</f>
        <v/>
      </c>
      <c r="M13" s="17">
        <f>S3_etp_jardin*cout_jardinier_def</f>
        <v/>
      </c>
    </row>
    <row r="14">
      <c r="A14" s="2" t="inlineStr">
        <is>
          <t>pers_entretien</t>
        </is>
      </c>
      <c r="B14" s="2" t="inlineStr">
        <is>
          <t>Personnel : gardien, maintenance des bâtiments</t>
        </is>
      </c>
      <c r="C14" s="2" t="inlineStr">
        <is>
          <t>B. Personnel</t>
        </is>
      </c>
      <c r="D14" s="16" t="n">
        <v>0</v>
      </c>
      <c r="E14" s="17">
        <f>S1_etp_entretien*cout_agent_entretien_fav</f>
        <v/>
      </c>
      <c r="F14" s="17">
        <f>S1_etp_entretien*cout_agent_entretien</f>
        <v/>
      </c>
      <c r="G14" s="17">
        <f>S1_etp_entretien*cout_agent_entretien_def</f>
        <v/>
      </c>
      <c r="H14" s="17">
        <f>S2_etp_entretien*cout_agent_entretien_fav</f>
        <v/>
      </c>
      <c r="I14" s="17">
        <f>S2_etp_entretien*cout_agent_entretien</f>
        <v/>
      </c>
      <c r="J14" s="17">
        <f>S2_etp_entretien*cout_agent_entretien_def</f>
        <v/>
      </c>
      <c r="K14" s="17">
        <f>S3_etp_entretien*cout_agent_entretien_fav</f>
        <v/>
      </c>
      <c r="L14" s="17">
        <f>S3_etp_entretien*cout_agent_entretien</f>
        <v/>
      </c>
      <c r="M14" s="17">
        <f>S3_etp_entretien*cout_agent_entretien_def</f>
        <v/>
      </c>
    </row>
    <row r="15">
      <c r="A15" s="2" t="inlineStr">
        <is>
          <t>pers_agricole</t>
        </is>
      </c>
      <c r="B15" s="2" t="inlineStr">
        <is>
          <t>Personnel : ouvrier agricole et forestier (prés, clôtures, foin, bois)</t>
        </is>
      </c>
      <c r="C15" s="2" t="inlineStr">
        <is>
          <t>B. Personnel</t>
        </is>
      </c>
      <c r="D15" s="16" t="n">
        <v>0</v>
      </c>
      <c r="E15" s="17">
        <f>S1_etp_agricole*cout_ouvrier_agricole_fav</f>
        <v/>
      </c>
      <c r="F15" s="17">
        <f>S1_etp_agricole*cout_ouvrier_agricole</f>
        <v/>
      </c>
      <c r="G15" s="17">
        <f>S1_etp_agricole*cout_ouvrier_agricole_def</f>
        <v/>
      </c>
      <c r="H15" s="17">
        <f>S2_etp_agricole*cout_ouvrier_agricole_fav</f>
        <v/>
      </c>
      <c r="I15" s="17">
        <f>S2_etp_agricole*cout_ouvrier_agricole</f>
        <v/>
      </c>
      <c r="J15" s="17">
        <f>S2_etp_agricole*cout_ouvrier_agricole_def</f>
        <v/>
      </c>
      <c r="K15" s="17">
        <f>S3_etp_agricole*cout_ouvrier_agricole_fav</f>
        <v/>
      </c>
      <c r="L15" s="17">
        <f>S3_etp_agricole*cout_ouvrier_agricole</f>
        <v/>
      </c>
      <c r="M15" s="17">
        <f>S3_etp_agricole*cout_ouvrier_agricole_def</f>
        <v/>
      </c>
    </row>
    <row r="16">
      <c r="A16" s="2" t="inlineStr">
        <is>
          <t>pers_equestre</t>
        </is>
      </c>
      <c r="B16" s="2" t="inlineStr">
        <is>
          <t>Personnel : soigneurs des chevaux du propriétaire</t>
        </is>
      </c>
      <c r="C16" s="2" t="inlineStr">
        <is>
          <t>B. Personnel</t>
        </is>
      </c>
      <c r="D16" s="16" t="n">
        <v>0</v>
      </c>
      <c r="E16" s="17">
        <f>S1_etp_soigneur*cout_soigneur_fav</f>
        <v/>
      </c>
      <c r="F16" s="17">
        <f>S1_etp_soigneur*cout_soigneur</f>
        <v/>
      </c>
      <c r="G16" s="17">
        <f>S1_etp_soigneur*cout_soigneur_def</f>
        <v/>
      </c>
      <c r="H16" s="17">
        <f>S2_etp_soigneur*cout_soigneur_fav</f>
        <v/>
      </c>
      <c r="I16" s="17">
        <f>S2_etp_soigneur*cout_soigneur</f>
        <v/>
      </c>
      <c r="J16" s="17">
        <f>S2_etp_soigneur*cout_soigneur_def</f>
        <v/>
      </c>
      <c r="K16" s="17">
        <f>S3_etp_soigneur*cout_soigneur_fav</f>
        <v/>
      </c>
      <c r="L16" s="17">
        <f>S3_etp_soigneur*cout_soigneur</f>
        <v/>
      </c>
      <c r="M16" s="17">
        <f>S3_etp_soigneur*cout_soigneur_def</f>
        <v/>
      </c>
    </row>
    <row r="17">
      <c r="A17" s="2" t="inlineStr">
        <is>
          <t>pers_resp_ecurie</t>
        </is>
      </c>
      <c r="B17" s="2" t="inlineStr">
        <is>
          <t>Personnel : responsable d'écurie et cavalier</t>
        </is>
      </c>
      <c r="C17" s="2" t="inlineStr">
        <is>
          <t>B. Personnel</t>
        </is>
      </c>
      <c r="D17" s="16" t="n">
        <v>0</v>
      </c>
      <c r="E17" s="17">
        <f>S1_etp_resp_ecurie*cout_resp_ecurie_fav</f>
        <v/>
      </c>
      <c r="F17" s="17">
        <f>S1_etp_resp_ecurie*cout_resp_ecurie</f>
        <v/>
      </c>
      <c r="G17" s="17">
        <f>S1_etp_resp_ecurie*cout_resp_ecurie_def</f>
        <v/>
      </c>
      <c r="H17" s="17">
        <f>S2_etp_resp_ecurie*cout_resp_ecurie_fav</f>
        <v/>
      </c>
      <c r="I17" s="17">
        <f>S2_etp_resp_ecurie*cout_resp_ecurie</f>
        <v/>
      </c>
      <c r="J17" s="17">
        <f>S2_etp_resp_ecurie*cout_resp_ecurie_def</f>
        <v/>
      </c>
      <c r="K17" s="17">
        <f>S3_etp_resp_ecurie*cout_resp_ecurie_fav</f>
        <v/>
      </c>
      <c r="L17" s="17">
        <f>S3_etp_resp_ecurie*cout_resp_ecurie</f>
        <v/>
      </c>
      <c r="M17" s="17">
        <f>S3_etp_resp_ecurie*cout_resp_ecurie_def</f>
        <v/>
      </c>
    </row>
    <row r="18">
      <c r="A18" s="2" t="inlineStr">
        <is>
          <t>pers_gouvernance</t>
        </is>
      </c>
      <c r="B18" s="2" t="inlineStr">
        <is>
          <t>Personnel de maison encadrant (gouvernante, majordome) — particulier employeur</t>
        </is>
      </c>
      <c r="C18" s="2" t="inlineStr">
        <is>
          <t>B. Personnel</t>
        </is>
      </c>
      <c r="D18" s="16" t="n">
        <v>0</v>
      </c>
      <c r="E18" s="17">
        <f>S1_etp_gouvernance*S1_cout_gouvernance_fav</f>
        <v/>
      </c>
      <c r="F18" s="17">
        <f>S1_etp_gouvernance*S1_cout_gouvernance</f>
        <v/>
      </c>
      <c r="G18" s="17">
        <f>S1_etp_gouvernance*S1_cout_gouvernance_def</f>
        <v/>
      </c>
      <c r="H18" s="17">
        <f>S2_etp_gouvernance*S2_cout_gouvernance_fav</f>
        <v/>
      </c>
      <c r="I18" s="17">
        <f>S2_etp_gouvernance*S2_cout_gouvernance</f>
        <v/>
      </c>
      <c r="J18" s="17">
        <f>S2_etp_gouvernance*S2_cout_gouvernance_def</f>
        <v/>
      </c>
      <c r="K18" s="17">
        <f>S3_etp_gouvernance*S3_cout_gouvernance_fav</f>
        <v/>
      </c>
      <c r="L18" s="17">
        <f>S3_etp_gouvernance*S3_cout_gouvernance</f>
        <v/>
      </c>
      <c r="M18" s="17">
        <f>S3_etp_gouvernance*S3_cout_gouvernance_def</f>
        <v/>
      </c>
    </row>
    <row r="19">
      <c r="A19" s="2" t="inlineStr">
        <is>
          <t>pers_maison</t>
        </is>
      </c>
      <c r="B19" s="2" t="inlineStr">
        <is>
          <t>Personnel : employés de maison — particulier employeur</t>
        </is>
      </c>
      <c r="C19" s="2" t="inlineStr">
        <is>
          <t>B. Personnel</t>
        </is>
      </c>
      <c r="D19" s="16" t="n">
        <v>0</v>
      </c>
      <c r="E19" s="17">
        <f>S1_etp_maison*cout_maison_fav</f>
        <v/>
      </c>
      <c r="F19" s="17">
        <f>S1_etp_maison*cout_maison</f>
        <v/>
      </c>
      <c r="G19" s="17">
        <f>S1_etp_maison*cout_maison_def</f>
        <v/>
      </c>
      <c r="H19" s="17">
        <f>S2_etp_maison*cout_maison_fav</f>
        <v/>
      </c>
      <c r="I19" s="17">
        <f>S2_etp_maison*cout_maison</f>
        <v/>
      </c>
      <c r="J19" s="17">
        <f>S2_etp_maison*cout_maison_def</f>
        <v/>
      </c>
      <c r="K19" s="17">
        <f>S3_etp_maison*cout_maison_fav</f>
        <v/>
      </c>
      <c r="L19" s="17">
        <f>S3_etp_maison*cout_maison</f>
        <v/>
      </c>
      <c r="M19" s="17">
        <f>S3_etp_maison*cout_maison_def</f>
        <v/>
      </c>
    </row>
    <row r="20">
      <c r="A20" s="2" t="inlineStr">
        <is>
          <t>jardins_reguliers</t>
        </is>
      </c>
      <c r="B20" s="2" t="inlineStr">
        <is>
          <t>Jardins réguliers et potager : fournitures, végétaux, sous-traitance</t>
        </is>
      </c>
      <c r="C20" s="2" t="inlineStr">
        <is>
          <t>C. Jardins et terres</t>
        </is>
      </c>
      <c r="D20" s="16" t="n">
        <v>0.2</v>
      </c>
      <c r="E20" s="17">
        <f>S1_ha_jardins*jardin_ha_fav</f>
        <v/>
      </c>
      <c r="F20" s="17">
        <f>S1_ha_jardins*jardin_ha</f>
        <v/>
      </c>
      <c r="G20" s="17">
        <f>S1_ha_jardins*jardin_ha_def</f>
        <v/>
      </c>
      <c r="H20" s="17">
        <f>S2_ha_jardins*jardin_ha_fav</f>
        <v/>
      </c>
      <c r="I20" s="17">
        <f>S2_ha_jardins*jardin_ha</f>
        <v/>
      </c>
      <c r="J20" s="17">
        <f>S2_ha_jardins*jardin_ha_def</f>
        <v/>
      </c>
      <c r="K20" s="17">
        <f>S3_ha_jardins*jardin_ha_fav</f>
        <v/>
      </c>
      <c r="L20" s="17">
        <f>S3_ha_jardins*jardin_ha</f>
        <v/>
      </c>
      <c r="M20" s="17">
        <f>S3_ha_jardins*jardin_ha_def</f>
        <v/>
      </c>
    </row>
    <row r="21">
      <c r="A21" s="2" t="inlineStr">
        <is>
          <t>parc</t>
        </is>
      </c>
      <c r="B21" s="2" t="inlineStr">
        <is>
          <t>Parc paysager : fournitures, fauche, élagage et replantation</t>
        </is>
      </c>
      <c r="C21" s="2" t="inlineStr">
        <is>
          <t>C. Jardins et terres</t>
        </is>
      </c>
      <c r="D21" s="16" t="n">
        <v>0.2</v>
      </c>
      <c r="E21" s="17">
        <f>S1_ha_parc*parc_ha_fav</f>
        <v/>
      </c>
      <c r="F21" s="17">
        <f>S1_ha_parc*parc_ha</f>
        <v/>
      </c>
      <c r="G21" s="17">
        <f>S1_ha_parc*parc_ha_def</f>
        <v/>
      </c>
      <c r="H21" s="17">
        <f>S2_ha_parc*parc_ha_fav</f>
        <v/>
      </c>
      <c r="I21" s="17">
        <f>S2_ha_parc*parc_ha</f>
        <v/>
      </c>
      <c r="J21" s="17">
        <f>S2_ha_parc*parc_ha_def</f>
        <v/>
      </c>
      <c r="K21" s="17">
        <f>S3_ha_parc*parc_ha_fav</f>
        <v/>
      </c>
      <c r="L21" s="17">
        <f>S3_ha_parc*parc_ha</f>
        <v/>
      </c>
      <c r="M21" s="17">
        <f>S3_ha_parc*parc_ha_def</f>
        <v/>
      </c>
    </row>
    <row r="22">
      <c r="A22" s="2" t="inlineStr">
        <is>
          <t>prairies</t>
        </is>
      </c>
      <c r="B22" s="2" t="inlineStr">
        <is>
          <t>Prairies et paddocks : entretien, amendements, fauche</t>
        </is>
      </c>
      <c r="C22" s="2" t="inlineStr">
        <is>
          <t>C. Jardins et terres</t>
        </is>
      </c>
      <c r="D22" s="16" t="n">
        <v>0.2</v>
      </c>
      <c r="E22" s="17">
        <f>S1_ha_prairies*prairie_ha_fav</f>
        <v/>
      </c>
      <c r="F22" s="17">
        <f>S1_ha_prairies*prairie_ha</f>
        <v/>
      </c>
      <c r="G22" s="17">
        <f>S1_ha_prairies*prairie_ha_def</f>
        <v/>
      </c>
      <c r="H22" s="17">
        <f>S2_ha_prairies*prairie_ha_fav</f>
        <v/>
      </c>
      <c r="I22" s="17">
        <f>S2_ha_prairies*prairie_ha</f>
        <v/>
      </c>
      <c r="J22" s="17">
        <f>S2_ha_prairies*prairie_ha_def</f>
        <v/>
      </c>
      <c r="K22" s="17">
        <f>S3_ha_prairies*prairie_ha_fav</f>
        <v/>
      </c>
      <c r="L22" s="17">
        <f>S3_ha_prairies*prairie_ha</f>
        <v/>
      </c>
      <c r="M22" s="17">
        <f>S3_ha_prairies*prairie_ha_def</f>
        <v/>
      </c>
    </row>
    <row r="23">
      <c r="A23" s="2" t="inlineStr">
        <is>
          <t>clotures</t>
        </is>
      </c>
      <c r="B23" s="2" t="inlineStr">
        <is>
          <t>Clôtures : provision de renouvellement</t>
        </is>
      </c>
      <c r="C23" s="2" t="inlineStr">
        <is>
          <t>C. Jardins et terres</t>
        </is>
      </c>
      <c r="D23" s="16" t="n">
        <v>0.2</v>
      </c>
      <c r="E23" s="17">
        <f>S1_ml_clotures*cloture_ml_fav/cloture_vie_fav</f>
        <v/>
      </c>
      <c r="F23" s="17">
        <f>S1_ml_clotures*cloture_ml/cloture_vie</f>
        <v/>
      </c>
      <c r="G23" s="17">
        <f>S1_ml_clotures*cloture_ml_def/cloture_vie_def</f>
        <v/>
      </c>
      <c r="H23" s="17">
        <f>S2_ml_clotures*cloture_ml_fav/cloture_vie_fav</f>
        <v/>
      </c>
      <c r="I23" s="17">
        <f>S2_ml_clotures*cloture_ml/cloture_vie</f>
        <v/>
      </c>
      <c r="J23" s="17">
        <f>S2_ml_clotures*cloture_ml_def/cloture_vie_def</f>
        <v/>
      </c>
      <c r="K23" s="17">
        <f>S3_ml_clotures*cloture_ml_fav/cloture_vie_fav</f>
        <v/>
      </c>
      <c r="L23" s="17">
        <f>S3_ml_clotures*cloture_ml/cloture_vie</f>
        <v/>
      </c>
      <c r="M23" s="17">
        <f>S3_ml_clotures*cloture_ml_def/cloture_vie_def</f>
        <v/>
      </c>
    </row>
    <row r="24">
      <c r="A24" s="2" t="inlineStr">
        <is>
          <t>bois</t>
        </is>
      </c>
      <c r="B24" s="2" t="inlineStr">
        <is>
          <t>Bois : gestion courante (hors recettes de coupe)</t>
        </is>
      </c>
      <c r="C24" s="2" t="inlineStr">
        <is>
          <t>C. Jardins et terres</t>
        </is>
      </c>
      <c r="D24" s="16" t="n">
        <v>0.2</v>
      </c>
      <c r="E24" s="17">
        <f>S1_ha_bois*bois_cout_ha_fav</f>
        <v/>
      </c>
      <c r="F24" s="17">
        <f>S1_ha_bois*bois_cout_ha</f>
        <v/>
      </c>
      <c r="G24" s="17">
        <f>S1_ha_bois*bois_cout_ha_def</f>
        <v/>
      </c>
      <c r="H24" s="17">
        <f>S2_ha_bois*bois_cout_ha_fav</f>
        <v/>
      </c>
      <c r="I24" s="17">
        <f>S2_ha_bois*bois_cout_ha</f>
        <v/>
      </c>
      <c r="J24" s="17">
        <f>S2_ha_bois*bois_cout_ha_def</f>
        <v/>
      </c>
      <c r="K24" s="17">
        <f>S3_ha_bois*bois_cout_ha_fav</f>
        <v/>
      </c>
      <c r="L24" s="17">
        <f>S3_ha_bois*bois_cout_ha</f>
        <v/>
      </c>
      <c r="M24" s="17">
        <f>S3_ha_bois*bois_cout_ha_def</f>
        <v/>
      </c>
    </row>
    <row r="25">
      <c r="A25" s="2" t="inlineStr">
        <is>
          <t>equip_renouv</t>
        </is>
      </c>
      <c r="B25" s="2" t="inlineStr">
        <is>
          <t>Équipements : renouvellement (tracteurs, tondeuses, véhicules, camion)</t>
        </is>
      </c>
      <c r="C25" s="2" t="inlineStr">
        <is>
          <t>D. Équipements</t>
        </is>
      </c>
      <c r="D25" s="16" t="n">
        <v>0.2</v>
      </c>
      <c r="E25" s="17">
        <f>S1_valeur_equip/equip_vie_fav</f>
        <v/>
      </c>
      <c r="F25" s="17">
        <f>S1_valeur_equip/equip_vie</f>
        <v/>
      </c>
      <c r="G25" s="17">
        <f>S1_valeur_equip/equip_vie_def</f>
        <v/>
      </c>
      <c r="H25" s="17">
        <f>S2_valeur_equip/equip_vie_fav</f>
        <v/>
      </c>
      <c r="I25" s="17">
        <f>S2_valeur_equip/equip_vie</f>
        <v/>
      </c>
      <c r="J25" s="17">
        <f>S2_valeur_equip/equip_vie_def</f>
        <v/>
      </c>
      <c r="K25" s="17">
        <f>S3_valeur_equip/equip_vie_fav</f>
        <v/>
      </c>
      <c r="L25" s="17">
        <f>S3_valeur_equip/equip_vie</f>
        <v/>
      </c>
      <c r="M25" s="17">
        <f>S3_valeur_equip/equip_vie_def</f>
        <v/>
      </c>
    </row>
    <row r="26">
      <c r="A26" s="2" t="inlineStr">
        <is>
          <t>equip_entretien</t>
        </is>
      </c>
      <c r="B26" s="2" t="inlineStr">
        <is>
          <t>Équipements : entretien et carburant</t>
        </is>
      </c>
      <c r="C26" s="2" t="inlineStr">
        <is>
          <t>D. Équipements</t>
        </is>
      </c>
      <c r="D26" s="16" t="n">
        <v>0.2</v>
      </c>
      <c r="E26" s="17">
        <f>S1_valeur_equip*equip_entretien_taux_fav</f>
        <v/>
      </c>
      <c r="F26" s="17">
        <f>S1_valeur_equip*equip_entretien_taux</f>
        <v/>
      </c>
      <c r="G26" s="17">
        <f>S1_valeur_equip*equip_entretien_taux_def</f>
        <v/>
      </c>
      <c r="H26" s="17">
        <f>S2_valeur_equip*equip_entretien_taux_fav</f>
        <v/>
      </c>
      <c r="I26" s="17">
        <f>S2_valeur_equip*equip_entretien_taux</f>
        <v/>
      </c>
      <c r="J26" s="17">
        <f>S2_valeur_equip*equip_entretien_taux_def</f>
        <v/>
      </c>
      <c r="K26" s="17">
        <f>S3_valeur_equip*equip_entretien_taux_fav</f>
        <v/>
      </c>
      <c r="L26" s="17">
        <f>S3_valeur_equip*equip_entretien_taux</f>
        <v/>
      </c>
      <c r="M26" s="17">
        <f>S3_valeur_equip*equip_entretien_taux_def</f>
        <v/>
      </c>
    </row>
    <row r="27">
      <c r="A27" s="2" t="inlineStr">
        <is>
          <t>chevaux</t>
        </is>
      </c>
      <c r="B27" s="2" t="inlineStr">
        <is>
          <t>Chevaux du propriétaire : alimentation, litière, maréchal, vétérinaire, assurance (hors personnel)</t>
        </is>
      </c>
      <c r="C27" s="2" t="inlineStr">
        <is>
          <t>E. Chevaux</t>
        </is>
      </c>
      <c r="D27" s="16" t="n">
        <v>0.2</v>
      </c>
      <c r="E27" s="17">
        <f>S1_nb_chevaux*cheval_an_fav</f>
        <v/>
      </c>
      <c r="F27" s="17">
        <f>S1_nb_chevaux*cheval_an</f>
        <v/>
      </c>
      <c r="G27" s="17">
        <f>S1_nb_chevaux*cheval_an_def</f>
        <v/>
      </c>
      <c r="H27" s="17">
        <f>S2_nb_chevaux*cheval_an_fav</f>
        <v/>
      </c>
      <c r="I27" s="17">
        <f>S2_nb_chevaux*cheval_an</f>
        <v/>
      </c>
      <c r="J27" s="17">
        <f>S2_nb_chevaux*cheval_an_def</f>
        <v/>
      </c>
      <c r="K27" s="17">
        <f>S3_nb_chevaux*cheval_an_fav</f>
        <v/>
      </c>
      <c r="L27" s="17">
        <f>S3_nb_chevaux*cheval_an</f>
        <v/>
      </c>
      <c r="M27" s="17">
        <f>S3_nb_chevaux*cheval_an_def</f>
        <v/>
      </c>
    </row>
    <row r="28">
      <c r="A28" s="2" t="inlineStr">
        <is>
          <t>installations_eq</t>
        </is>
      </c>
      <c r="B28" s="2" t="inlineStr">
        <is>
          <t>Installations équestres : sols, boxes, bâtiment du manège (provision)</t>
        </is>
      </c>
      <c r="C28" s="2" t="inlineStr">
        <is>
          <t>E. Chevaux</t>
        </is>
      </c>
      <c r="D28" s="16" t="n">
        <v>0.2</v>
      </c>
      <c r="E28" s="17">
        <f>S1_surf_pistes*sol_cout_m2_fav/sol_vie_fav+S1_nb_boxes*box_entretien_fav+S1_surf_manege*manege_cout_m2_fav/manege_vie_fav</f>
        <v/>
      </c>
      <c r="F28" s="17">
        <f>S1_surf_pistes*sol_cout_m2/sol_vie+S1_nb_boxes*box_entretien+S1_surf_manege*manege_cout_m2/manege_vie</f>
        <v/>
      </c>
      <c r="G28" s="17">
        <f>S1_surf_pistes*sol_cout_m2_def/sol_vie_def+S1_nb_boxes*box_entretien_def+S1_surf_manege*manege_cout_m2_def/manege_vie_def</f>
        <v/>
      </c>
      <c r="H28" s="17">
        <f>S2_surf_pistes*sol_cout_m2_fav/sol_vie_fav+S2_nb_boxes*box_entretien_fav+S2_surf_manege*manege_cout_m2_fav/manege_vie_fav</f>
        <v/>
      </c>
      <c r="I28" s="17">
        <f>S2_surf_pistes*sol_cout_m2/sol_vie+S2_nb_boxes*box_entretien+S2_surf_manege*manege_cout_m2/manege_vie</f>
        <v/>
      </c>
      <c r="J28" s="17">
        <f>S2_surf_pistes*sol_cout_m2_def/sol_vie_def+S2_nb_boxes*box_entretien_def+S2_surf_manege*manege_cout_m2_def/manege_vie_def</f>
        <v/>
      </c>
      <c r="K28" s="17">
        <f>S3_surf_pistes*sol_cout_m2_fav/sol_vie_fav+S3_nb_boxes*box_entretien_fav+S3_surf_manege*manege_cout_m2_fav/manege_vie_fav</f>
        <v/>
      </c>
      <c r="L28" s="17">
        <f>S3_surf_pistes*sol_cout_m2/sol_vie+S3_nb_boxes*box_entretien+S3_surf_manege*manege_cout_m2/manege_vie</f>
        <v/>
      </c>
      <c r="M28" s="17">
        <f>S3_surf_pistes*sol_cout_m2_def/sol_vie_def+S3_nb_boxes*box_entretien_def+S3_surf_manege*manege_cout_m2_def/manege_vie_def</f>
        <v/>
      </c>
    </row>
    <row r="29">
      <c r="A29" s="2" t="inlineStr">
        <is>
          <t>chauffage</t>
        </is>
      </c>
      <c r="B29" s="2" t="inlineStr">
        <is>
          <t>Chauffage et eau chaude des surfaces habitées</t>
        </is>
      </c>
      <c r="C29" s="2" t="inlineStr">
        <is>
          <t>F. Énergie</t>
        </is>
      </c>
      <c r="D29" s="16" t="n">
        <v>0.2</v>
      </c>
      <c r="E29" s="17">
        <f>S1_surf_chauffee_fav*chauffage_kwh_m2_fav*prix_chaleur_kwh_fav</f>
        <v/>
      </c>
      <c r="F29" s="17">
        <f>S1_surf_chauffee*chauffage_kwh_m2*prix_chaleur_kwh</f>
        <v/>
      </c>
      <c r="G29" s="17">
        <f>S1_surf_chauffee_def*chauffage_kwh_m2_def*prix_chaleur_kwh_def</f>
        <v/>
      </c>
      <c r="H29" s="17">
        <f>S2_surf_chauffee_fav*chauffage_kwh_m2_fav*prix_chaleur_kwh_fav</f>
        <v/>
      </c>
      <c r="I29" s="17">
        <f>S2_surf_chauffee*chauffage_kwh_m2*prix_chaleur_kwh</f>
        <v/>
      </c>
      <c r="J29" s="17">
        <f>S2_surf_chauffee_def*chauffage_kwh_m2_def*prix_chaleur_kwh_def</f>
        <v/>
      </c>
      <c r="K29" s="17">
        <f>S3_surf_chauffee_fav*chauffage_kwh_m2_fav*prix_chaleur_kwh_fav</f>
        <v/>
      </c>
      <c r="L29" s="17">
        <f>S3_surf_chauffee*chauffage_kwh_m2*prix_chaleur_kwh</f>
        <v/>
      </c>
      <c r="M29" s="17">
        <f>S3_surf_chauffee_def*chauffage_kwh_m2_def*prix_chaleur_kwh_def</f>
        <v/>
      </c>
    </row>
    <row r="30">
      <c r="A30" s="2" t="inlineStr">
        <is>
          <t>hors_gel</t>
        </is>
      </c>
      <c r="B30" s="2" t="inlineStr">
        <is>
          <t>Hors-gel et tempérage des surfaces non habitées du château</t>
        </is>
      </c>
      <c r="C30" s="2" t="inlineStr">
        <is>
          <t>F. Énergie</t>
        </is>
      </c>
      <c r="D30" s="16" t="n">
        <v>0.2</v>
      </c>
      <c r="E30" s="17">
        <f>MAX(0,S1_surf_chateau-S1_surf_chauffee_fav)*horsgel_kwh_m2_fav*prix_chaleur_kwh_fav</f>
        <v/>
      </c>
      <c r="F30" s="17">
        <f>MAX(0,S1_surf_chateau-S1_surf_chauffee)*horsgel_kwh_m2*prix_chaleur_kwh</f>
        <v/>
      </c>
      <c r="G30" s="17">
        <f>MAX(0,S1_surf_chateau-S1_surf_chauffee_def)*horsgel_kwh_m2_def*prix_chaleur_kwh_def</f>
        <v/>
      </c>
      <c r="H30" s="17">
        <f>MAX(0,S2_surf_chateau-S2_surf_chauffee_fav)*horsgel_kwh_m2_fav*prix_chaleur_kwh_fav</f>
        <v/>
      </c>
      <c r="I30" s="17">
        <f>MAX(0,S2_surf_chateau-S2_surf_chauffee)*horsgel_kwh_m2*prix_chaleur_kwh</f>
        <v/>
      </c>
      <c r="J30" s="17">
        <f>MAX(0,S2_surf_chateau-S2_surf_chauffee_def)*horsgel_kwh_m2_def*prix_chaleur_kwh_def</f>
        <v/>
      </c>
      <c r="K30" s="17">
        <f>MAX(0,S3_surf_chateau-S3_surf_chauffee_fav)*horsgel_kwh_m2_fav*prix_chaleur_kwh_fav</f>
        <v/>
      </c>
      <c r="L30" s="17">
        <f>MAX(0,S3_surf_chateau-S3_surf_chauffee)*horsgel_kwh_m2*prix_chaleur_kwh</f>
        <v/>
      </c>
      <c r="M30" s="17">
        <f>MAX(0,S3_surf_chateau-S3_surf_chauffee_def)*horsgel_kwh_m2_def*prix_chaleur_kwh_def</f>
        <v/>
      </c>
    </row>
    <row r="31">
      <c r="A31" s="2" t="inlineStr">
        <is>
          <t>electricite</t>
        </is>
      </c>
      <c r="B31" s="2" t="inlineStr">
        <is>
          <t>Électricité spécifique (éclairage, pompes, écuries, ateliers, extérieurs)</t>
        </is>
      </c>
      <c r="C31" s="2" t="inlineStr">
        <is>
          <t>F. Énergie</t>
        </is>
      </c>
      <c r="D31" s="16" t="n">
        <v>0.2</v>
      </c>
      <c r="E31" s="17">
        <f>S1_elec_kwh_fav*prix_elec_kwh_fav</f>
        <v/>
      </c>
      <c r="F31" s="17">
        <f>S1_elec_kwh*prix_elec_kwh</f>
        <v/>
      </c>
      <c r="G31" s="17">
        <f>S1_elec_kwh_def*prix_elec_kwh_def</f>
        <v/>
      </c>
      <c r="H31" s="17">
        <f>S2_elec_kwh_fav*prix_elec_kwh_fav</f>
        <v/>
      </c>
      <c r="I31" s="17">
        <f>S2_elec_kwh*prix_elec_kwh</f>
        <v/>
      </c>
      <c r="J31" s="17">
        <f>S2_elec_kwh_def*prix_elec_kwh_def</f>
        <v/>
      </c>
      <c r="K31" s="17">
        <f>S3_elec_kwh_fav*prix_elec_kwh_fav</f>
        <v/>
      </c>
      <c r="L31" s="17">
        <f>S3_elec_kwh*prix_elec_kwh</f>
        <v/>
      </c>
      <c r="M31" s="17">
        <f>S3_elec_kwh_def*prix_elec_kwh_def</f>
        <v/>
      </c>
    </row>
    <row r="32">
      <c r="A32" s="2" t="inlineStr">
        <is>
          <t>eau</t>
        </is>
      </c>
      <c r="B32" s="2" t="inlineStr">
        <is>
          <t>Eau et assainissement</t>
        </is>
      </c>
      <c r="C32" s="2" t="inlineStr">
        <is>
          <t>F. Énergie</t>
        </is>
      </c>
      <c r="D32" s="16" t="n">
        <v>0.1</v>
      </c>
      <c r="E32" s="17">
        <f>S1_eau_fav</f>
        <v/>
      </c>
      <c r="F32" s="17">
        <f>S1_eau</f>
        <v/>
      </c>
      <c r="G32" s="17">
        <f>S1_eau_def</f>
        <v/>
      </c>
      <c r="H32" s="17">
        <f>S2_eau_fav</f>
        <v/>
      </c>
      <c r="I32" s="17">
        <f>S2_eau</f>
        <v/>
      </c>
      <c r="J32" s="17">
        <f>S2_eau_def</f>
        <v/>
      </c>
      <c r="K32" s="17">
        <f>S3_eau_fav</f>
        <v/>
      </c>
      <c r="L32" s="17">
        <f>S3_eau</f>
        <v/>
      </c>
      <c r="M32" s="17">
        <f>S3_eau_def</f>
        <v/>
      </c>
    </row>
    <row r="33">
      <c r="A33" s="2" t="inlineStr">
        <is>
          <t>assurance_bati</t>
        </is>
      </c>
      <c r="B33" s="2" t="inlineStr">
        <is>
          <t>Assurance des bâtiments (en ‰ de la valeur de reconstruction)</t>
        </is>
      </c>
      <c r="C33" s="2" t="inlineStr">
        <is>
          <t>G. Assurances</t>
        </is>
      </c>
      <c r="D33" s="16" t="n">
        <v>0</v>
      </c>
      <c r="E33" s="17">
        <f>E5*assurance_taux_fav</f>
        <v/>
      </c>
      <c r="F33" s="17">
        <f>F5*assurance_taux</f>
        <v/>
      </c>
      <c r="G33" s="17">
        <f>G5*assurance_taux_def</f>
        <v/>
      </c>
      <c r="H33" s="17">
        <f>H5*assurance_taux_fav</f>
        <v/>
      </c>
      <c r="I33" s="17">
        <f>I5*assurance_taux</f>
        <v/>
      </c>
      <c r="J33" s="17">
        <f>J5*assurance_taux_def</f>
        <v/>
      </c>
      <c r="K33" s="17">
        <f>K5*assurance_taux_fav</f>
        <v/>
      </c>
      <c r="L33" s="17">
        <f>L5*assurance_taux</f>
        <v/>
      </c>
      <c r="M33" s="17">
        <f>M5*assurance_taux_def</f>
        <v/>
      </c>
    </row>
    <row r="34">
      <c r="A34" s="2" t="inlineStr">
        <is>
          <t>assurance_autres</t>
        </is>
      </c>
      <c r="B34" s="2" t="inlineStr">
        <is>
          <t>Responsabilité civile, véhicules, chevaux, contenu</t>
        </is>
      </c>
      <c r="C34" s="2" t="inlineStr">
        <is>
          <t>G. Assurances</t>
        </is>
      </c>
      <c r="D34" s="16" t="n">
        <v>0</v>
      </c>
      <c r="E34" s="17">
        <f>S1_assurances_autres_fav</f>
        <v/>
      </c>
      <c r="F34" s="17">
        <f>S1_assurances_autres</f>
        <v/>
      </c>
      <c r="G34" s="17">
        <f>S1_assurances_autres_def</f>
        <v/>
      </c>
      <c r="H34" s="17">
        <f>S2_assurances_autres_fav</f>
        <v/>
      </c>
      <c r="I34" s="17">
        <f>S2_assurances_autres</f>
        <v/>
      </c>
      <c r="J34" s="17">
        <f>S2_assurances_autres_def</f>
        <v/>
      </c>
      <c r="K34" s="17">
        <f>S3_assurances_autres_fav</f>
        <v/>
      </c>
      <c r="L34" s="17">
        <f>S3_assurances_autres</f>
        <v/>
      </c>
      <c r="M34" s="17">
        <f>S3_assurances_autres_def</f>
        <v/>
      </c>
    </row>
    <row r="35">
      <c r="A35" s="2" t="inlineStr">
        <is>
          <t>taxe_fonciere_bati</t>
        </is>
      </c>
      <c r="B35" s="2" t="inlineStr">
        <is>
          <t>Taxe foncière sur les propriétés bâties</t>
        </is>
      </c>
      <c r="C35" s="2" t="inlineStr">
        <is>
          <t>H. Impôts et taxes</t>
        </is>
      </c>
      <c r="D35" s="16" t="n">
        <v>0</v>
      </c>
      <c r="E35" s="17">
        <f>S1_surf_chateau*tf_chateau_m2_fav+S1_surf_dep*tf_dep_m2_fav</f>
        <v/>
      </c>
      <c r="F35" s="17">
        <f>S1_surf_chateau*tf_chateau_m2+S1_surf_dep*tf_dep_m2</f>
        <v/>
      </c>
      <c r="G35" s="17">
        <f>S1_surf_chateau*tf_chateau_m2_def+S1_surf_dep*tf_dep_m2_def</f>
        <v/>
      </c>
      <c r="H35" s="17">
        <f>S2_surf_chateau*tf_chateau_m2_fav+S2_surf_dep*tf_dep_m2_fav</f>
        <v/>
      </c>
      <c r="I35" s="17">
        <f>S2_surf_chateau*tf_chateau_m2+S2_surf_dep*tf_dep_m2</f>
        <v/>
      </c>
      <c r="J35" s="17">
        <f>S2_surf_chateau*tf_chateau_m2_def+S2_surf_dep*tf_dep_m2_def</f>
        <v/>
      </c>
      <c r="K35" s="17">
        <f>S3_surf_chateau*tf_chateau_m2_fav+S3_surf_dep*tf_dep_m2_fav</f>
        <v/>
      </c>
      <c r="L35" s="17">
        <f>S3_surf_chateau*tf_chateau_m2+S3_surf_dep*tf_dep_m2</f>
        <v/>
      </c>
      <c r="M35" s="17">
        <f>S3_surf_chateau*tf_chateau_m2_def+S3_surf_dep*tf_dep_m2_def</f>
        <v/>
      </c>
    </row>
    <row r="36">
      <c r="A36" s="2" t="inlineStr">
        <is>
          <t>taxe_fonciere_non_bati</t>
        </is>
      </c>
      <c r="B36" s="2" t="inlineStr">
        <is>
          <t>Taxe foncière sur les propriétés non bâties</t>
        </is>
      </c>
      <c r="C36" s="2" t="inlineStr">
        <is>
          <t>H. Impôts et taxes</t>
        </is>
      </c>
      <c r="D36" s="16" t="n">
        <v>0</v>
      </c>
      <c r="E36" s="17">
        <f>(S1_ha_prairies+S1_ha_bois+S1_ha_parc+S1_ha_jardins)*tfnb_ha_fav</f>
        <v/>
      </c>
      <c r="F36" s="17">
        <f>(S1_ha_prairies+S1_ha_bois+S1_ha_parc+S1_ha_jardins)*tfnb_ha</f>
        <v/>
      </c>
      <c r="G36" s="17">
        <f>(S1_ha_prairies+S1_ha_bois+S1_ha_parc+S1_ha_jardins)*tfnb_ha_def</f>
        <v/>
      </c>
      <c r="H36" s="17">
        <f>(S2_ha_prairies+S2_ha_bois+S2_ha_parc+S2_ha_jardins)*tfnb_ha_fav</f>
        <v/>
      </c>
      <c r="I36" s="17">
        <f>(S2_ha_prairies+S2_ha_bois+S2_ha_parc+S2_ha_jardins)*tfnb_ha</f>
        <v/>
      </c>
      <c r="J36" s="17">
        <f>(S2_ha_prairies+S2_ha_bois+S2_ha_parc+S2_ha_jardins)*tfnb_ha_def</f>
        <v/>
      </c>
      <c r="K36" s="17">
        <f>(S3_ha_prairies+S3_ha_bois+S3_ha_parc+S3_ha_jardins)*tfnb_ha_fav</f>
        <v/>
      </c>
      <c r="L36" s="17">
        <f>(S3_ha_prairies+S3_ha_bois+S3_ha_parc+S3_ha_jardins)*tfnb_ha</f>
        <v/>
      </c>
      <c r="M36" s="17">
        <f>(S3_ha_prairies+S3_ha_bois+S3_ha_parc+S3_ha_jardins)*tfnb_ha_def</f>
        <v/>
      </c>
    </row>
    <row r="37">
      <c r="A37" s="2" t="inlineStr">
        <is>
          <t>ifi</t>
        </is>
      </c>
      <c r="B37" s="2" t="inlineStr">
        <is>
          <t>IFI du propriétaire au titre du domaine (barème 2026, abattement résidence principale)</t>
        </is>
      </c>
      <c r="C37" s="2" t="inlineStr">
        <is>
          <t>H. Impôts et taxes</t>
        </is>
      </c>
      <c r="D37" s="16" t="n">
        <v>0</v>
      </c>
      <c r="E37" s="17">
        <f>IF(S1_prix_achat*(1-ifi_abattement_rp_fav)&gt;1300000,0.005*MAX(0,MIN(S1_prix_achat*(1-ifi_abattement_rp_fav),1300000)-800000)+0.007*MAX(0,MIN(S1_prix_achat*(1-ifi_abattement_rp_fav),2570000)-1300000)+0.01*MAX(0,MIN(S1_prix_achat*(1-ifi_abattement_rp_fav),5000000)-2570000)+0.0125*MAX(0,MIN(S1_prix_achat*(1-ifi_abattement_rp_fav),10000000)-5000000)+0.015*MAX(0,S1_prix_achat*(1-ifi_abattement_rp_fav)-10000000)-IF(S1_prix_achat*(1-ifi_abattement_rp_fav)&lt;1400000,17500-0.0125*S1_prix_achat*(1-ifi_abattement_rp_fav),0),0)</f>
        <v/>
      </c>
      <c r="F37" s="17">
        <f>IF(S1_prix_achat*(1-ifi_abattement_rp)&gt;1300000,0.005*MAX(0,MIN(S1_prix_achat*(1-ifi_abattement_rp),1300000)-800000)+0.007*MAX(0,MIN(S1_prix_achat*(1-ifi_abattement_rp),2570000)-1300000)+0.01*MAX(0,MIN(S1_prix_achat*(1-ifi_abattement_rp),5000000)-2570000)+0.0125*MAX(0,MIN(S1_prix_achat*(1-ifi_abattement_rp),10000000)-5000000)+0.015*MAX(0,S1_prix_achat*(1-ifi_abattement_rp)-10000000)-IF(S1_prix_achat*(1-ifi_abattement_rp)&lt;1400000,17500-0.0125*S1_prix_achat*(1-ifi_abattement_rp),0),0)</f>
        <v/>
      </c>
      <c r="G37" s="17">
        <f>IF(S1_prix_achat*(1-ifi_abattement_rp_def)&gt;1300000,0.005*MAX(0,MIN(S1_prix_achat*(1-ifi_abattement_rp_def),1300000)-800000)+0.007*MAX(0,MIN(S1_prix_achat*(1-ifi_abattement_rp_def),2570000)-1300000)+0.01*MAX(0,MIN(S1_prix_achat*(1-ifi_abattement_rp_def),5000000)-2570000)+0.0125*MAX(0,MIN(S1_prix_achat*(1-ifi_abattement_rp_def),10000000)-5000000)+0.015*MAX(0,S1_prix_achat*(1-ifi_abattement_rp_def)-10000000)-IF(S1_prix_achat*(1-ifi_abattement_rp_def)&lt;1400000,17500-0.0125*S1_prix_achat*(1-ifi_abattement_rp_def),0),0)</f>
        <v/>
      </c>
      <c r="H37" s="17">
        <f>IF(S2_prix_achat*(1-ifi_abattement_rp_fav)&gt;1300000,0.005*MAX(0,MIN(S2_prix_achat*(1-ifi_abattement_rp_fav),1300000)-800000)+0.007*MAX(0,MIN(S2_prix_achat*(1-ifi_abattement_rp_fav),2570000)-1300000)+0.01*MAX(0,MIN(S2_prix_achat*(1-ifi_abattement_rp_fav),5000000)-2570000)+0.0125*MAX(0,MIN(S2_prix_achat*(1-ifi_abattement_rp_fav),10000000)-5000000)+0.015*MAX(0,S2_prix_achat*(1-ifi_abattement_rp_fav)-10000000)-IF(S2_prix_achat*(1-ifi_abattement_rp_fav)&lt;1400000,17500-0.0125*S2_prix_achat*(1-ifi_abattement_rp_fav),0),0)</f>
        <v/>
      </c>
      <c r="I37" s="17">
        <f>IF(S2_prix_achat*(1-ifi_abattement_rp)&gt;1300000,0.005*MAX(0,MIN(S2_prix_achat*(1-ifi_abattement_rp),1300000)-800000)+0.007*MAX(0,MIN(S2_prix_achat*(1-ifi_abattement_rp),2570000)-1300000)+0.01*MAX(0,MIN(S2_prix_achat*(1-ifi_abattement_rp),5000000)-2570000)+0.0125*MAX(0,MIN(S2_prix_achat*(1-ifi_abattement_rp),10000000)-5000000)+0.015*MAX(0,S2_prix_achat*(1-ifi_abattement_rp)-10000000)-IF(S2_prix_achat*(1-ifi_abattement_rp)&lt;1400000,17500-0.0125*S2_prix_achat*(1-ifi_abattement_rp),0),0)</f>
        <v/>
      </c>
      <c r="J37" s="17">
        <f>IF(S2_prix_achat*(1-ifi_abattement_rp_def)&gt;1300000,0.005*MAX(0,MIN(S2_prix_achat*(1-ifi_abattement_rp_def),1300000)-800000)+0.007*MAX(0,MIN(S2_prix_achat*(1-ifi_abattement_rp_def),2570000)-1300000)+0.01*MAX(0,MIN(S2_prix_achat*(1-ifi_abattement_rp_def),5000000)-2570000)+0.0125*MAX(0,MIN(S2_prix_achat*(1-ifi_abattement_rp_def),10000000)-5000000)+0.015*MAX(0,S2_prix_achat*(1-ifi_abattement_rp_def)-10000000)-IF(S2_prix_achat*(1-ifi_abattement_rp_def)&lt;1400000,17500-0.0125*S2_prix_achat*(1-ifi_abattement_rp_def),0),0)</f>
        <v/>
      </c>
      <c r="K37" s="17">
        <f>IF(S3_prix_achat*(1-ifi_abattement_rp_fav)&gt;1300000,0.005*MAX(0,MIN(S3_prix_achat*(1-ifi_abattement_rp_fav),1300000)-800000)+0.007*MAX(0,MIN(S3_prix_achat*(1-ifi_abattement_rp_fav),2570000)-1300000)+0.01*MAX(0,MIN(S3_prix_achat*(1-ifi_abattement_rp_fav),5000000)-2570000)+0.0125*MAX(0,MIN(S3_prix_achat*(1-ifi_abattement_rp_fav),10000000)-5000000)+0.015*MAX(0,S3_prix_achat*(1-ifi_abattement_rp_fav)-10000000)-IF(S3_prix_achat*(1-ifi_abattement_rp_fav)&lt;1400000,17500-0.0125*S3_prix_achat*(1-ifi_abattement_rp_fav),0),0)</f>
        <v/>
      </c>
      <c r="L37" s="17">
        <f>IF(S3_prix_achat*(1-ifi_abattement_rp)&gt;1300000,0.005*MAX(0,MIN(S3_prix_achat*(1-ifi_abattement_rp),1300000)-800000)+0.007*MAX(0,MIN(S3_prix_achat*(1-ifi_abattement_rp),2570000)-1300000)+0.01*MAX(0,MIN(S3_prix_achat*(1-ifi_abattement_rp),5000000)-2570000)+0.0125*MAX(0,MIN(S3_prix_achat*(1-ifi_abattement_rp),10000000)-5000000)+0.015*MAX(0,S3_prix_achat*(1-ifi_abattement_rp)-10000000)-IF(S3_prix_achat*(1-ifi_abattement_rp)&lt;1400000,17500-0.0125*S3_prix_achat*(1-ifi_abattement_rp),0),0)</f>
        <v/>
      </c>
      <c r="M37" s="17">
        <f>IF(S3_prix_achat*(1-ifi_abattement_rp_def)&gt;1300000,0.005*MAX(0,MIN(S3_prix_achat*(1-ifi_abattement_rp_def),1300000)-800000)+0.007*MAX(0,MIN(S3_prix_achat*(1-ifi_abattement_rp_def),2570000)-1300000)+0.01*MAX(0,MIN(S3_prix_achat*(1-ifi_abattement_rp_def),5000000)-2570000)+0.0125*MAX(0,MIN(S3_prix_achat*(1-ifi_abattement_rp_def),10000000)-5000000)+0.015*MAX(0,S3_prix_achat*(1-ifi_abattement_rp_def)-10000000)-IF(S3_prix_achat*(1-ifi_abattement_rp_def)&lt;1400000,17500-0.0125*S3_prix_achat*(1-ifi_abattement_rp_def),0),0)</f>
        <v/>
      </c>
    </row>
    <row r="38">
      <c r="A38" s="2" t="inlineStr">
        <is>
          <t>admin</t>
        </is>
      </c>
      <c r="B38" s="2" t="inlineStr">
        <is>
          <t>Administration : expert-comptable, juridique, banque, informatique, télécoms</t>
        </is>
      </c>
      <c r="C38" s="2" t="inlineStr">
        <is>
          <t>I. Administration</t>
        </is>
      </c>
      <c r="D38" s="16" t="n">
        <v>0.2</v>
      </c>
      <c r="E38" s="17">
        <f>S1_admin_fav</f>
        <v/>
      </c>
      <c r="F38" s="17">
        <f>S1_admin</f>
        <v/>
      </c>
      <c r="G38" s="17">
        <f>S1_admin_def</f>
        <v/>
      </c>
      <c r="H38" s="17">
        <f>S2_admin_fav</f>
        <v/>
      </c>
      <c r="I38" s="17">
        <f>S2_admin</f>
        <v/>
      </c>
      <c r="J38" s="17">
        <f>S2_admin_def</f>
        <v/>
      </c>
      <c r="K38" s="17">
        <f>S3_admin_fav</f>
        <v/>
      </c>
      <c r="L38" s="17">
        <f>S3_admin</f>
        <v/>
      </c>
      <c r="M38" s="17">
        <f>S3_admin_def</f>
        <v/>
      </c>
    </row>
    <row r="39">
      <c r="A39" s="2" t="inlineStr">
        <is>
          <t>honoraires_patrimoine</t>
        </is>
      </c>
      <c r="B39" s="2" t="inlineStr">
        <is>
          <t>Architecte du patrimoine : état sanitaire et suivi (hors maîtrise d'œuvre des chantiers)</t>
        </is>
      </c>
      <c r="C39" s="2" t="inlineStr">
        <is>
          <t>I. Administration</t>
        </is>
      </c>
      <c r="D39" s="16" t="n">
        <v>0.2</v>
      </c>
      <c r="E39" s="17">
        <f>S1_honoraires_patrimoine_fav</f>
        <v/>
      </c>
      <c r="F39" s="17">
        <f>S1_honoraires_patrimoine</f>
        <v/>
      </c>
      <c r="G39" s="17">
        <f>S1_honoraires_patrimoine_def</f>
        <v/>
      </c>
      <c r="H39" s="17">
        <f>S2_honoraires_patrimoine_fav</f>
        <v/>
      </c>
      <c r="I39" s="17">
        <f>S2_honoraires_patrimoine</f>
        <v/>
      </c>
      <c r="J39" s="17">
        <f>S2_honoraires_patrimoine_def</f>
        <v/>
      </c>
      <c r="K39" s="17">
        <f>S3_honoraires_patrimoine_fav</f>
        <v/>
      </c>
      <c r="L39" s="17">
        <f>S3_honoraires_patrimoine</f>
        <v/>
      </c>
      <c r="M39" s="17">
        <f>S3_honoraires_patrimoine_def</f>
        <v/>
      </c>
    </row>
    <row r="40">
      <c r="A40" s="2" t="inlineStr">
        <is>
          <t>dont_personnel_calc</t>
        </is>
      </c>
      <c r="B40" s="2" t="inlineStr">
        <is>
          <t>Sous-total du personnel</t>
        </is>
      </c>
      <c r="C40" s="2" t="inlineStr">
        <is>
          <t>B. Personnel</t>
        </is>
      </c>
      <c r="D40" s="16" t="n">
        <v>0</v>
      </c>
      <c r="E40" s="17">
        <f>E10+E11+E12+E13+E14+E15+E16+E17+E18+E19</f>
        <v/>
      </c>
      <c r="F40" s="17">
        <f>F10+F11+F12+F13+F14+F15+F16+F17+F18+F19</f>
        <v/>
      </c>
      <c r="G40" s="17">
        <f>G10+G11+G12+G13+G14+G15+G16+G17+G18+G19</f>
        <v/>
      </c>
      <c r="H40" s="17">
        <f>H10+H11+H12+H13+H14+H15+H16+H17+H18+H19</f>
        <v/>
      </c>
      <c r="I40" s="17">
        <f>I10+I11+I12+I13+I14+I15+I16+I17+I18+I19</f>
        <v/>
      </c>
      <c r="J40" s="17">
        <f>J10+J11+J12+J13+J14+J15+J16+J17+J18+J19</f>
        <v/>
      </c>
      <c r="K40" s="17">
        <f>K10+K11+K12+K13+K14+K15+K16+K17+K18+K19</f>
        <v/>
      </c>
      <c r="L40" s="17">
        <f>L10+L11+L12+L13+L14+L15+L16+L17+L18+L19</f>
        <v/>
      </c>
      <c r="M40" s="17">
        <f>M10+M11+M12+M13+M14+M15+M16+M17+M18+M19</f>
        <v/>
      </c>
    </row>
    <row r="41">
      <c r="A41" s="2" t="inlineStr">
        <is>
          <t>etp_total</t>
        </is>
      </c>
      <c r="B41" s="2" t="inlineStr">
        <is>
          <t>Effectif total (ETP)</t>
        </is>
      </c>
      <c r="C41" s="2" t="inlineStr">
        <is>
          <t>B. Personnel</t>
        </is>
      </c>
      <c r="D41" s="16" t="n">
        <v>0</v>
      </c>
      <c r="E41" s="17">
        <f>S1_etp_direction+S1_etp_admin+S1_etp_chef_jardinier+S1_etp_jardin+S1_etp_entretien+S1_etp_agricole+S1_etp_soigneur+S1_etp_resp_ecurie+S1_etp_gouvernance+S1_etp_maison</f>
        <v/>
      </c>
      <c r="F41" s="17">
        <f>S1_etp_direction+S1_etp_admin+S1_etp_chef_jardinier+S1_etp_jardin+S1_etp_entretien+S1_etp_agricole+S1_etp_soigneur+S1_etp_resp_ecurie+S1_etp_gouvernance+S1_etp_maison</f>
        <v/>
      </c>
      <c r="G41" s="17">
        <f>S1_etp_direction+S1_etp_admin+S1_etp_chef_jardinier+S1_etp_jardin+S1_etp_entretien+S1_etp_agricole+S1_etp_soigneur+S1_etp_resp_ecurie+S1_etp_gouvernance+S1_etp_maison</f>
        <v/>
      </c>
      <c r="H41" s="17">
        <f>S2_etp_direction+S2_etp_admin+S2_etp_chef_jardinier+S2_etp_jardin+S2_etp_entretien+S2_etp_agricole+S2_etp_soigneur+S2_etp_resp_ecurie+S2_etp_gouvernance+S2_etp_maison</f>
        <v/>
      </c>
      <c r="I41" s="17">
        <f>S2_etp_direction+S2_etp_admin+S2_etp_chef_jardinier+S2_etp_jardin+S2_etp_entretien+S2_etp_agricole+S2_etp_soigneur+S2_etp_resp_ecurie+S2_etp_gouvernance+S2_etp_maison</f>
        <v/>
      </c>
      <c r="J41" s="17">
        <f>S2_etp_direction+S2_etp_admin+S2_etp_chef_jardinier+S2_etp_jardin+S2_etp_entretien+S2_etp_agricole+S2_etp_soigneur+S2_etp_resp_ecurie+S2_etp_gouvernance+S2_etp_maison</f>
        <v/>
      </c>
      <c r="K41" s="17">
        <f>S3_etp_direction+S3_etp_admin+S3_etp_chef_jardinier+S3_etp_jardin+S3_etp_entretien+S3_etp_agricole+S3_etp_soigneur+S3_etp_resp_ecurie+S3_etp_gouvernance+S3_etp_maison</f>
        <v/>
      </c>
      <c r="L41" s="17">
        <f>S3_etp_direction+S3_etp_admin+S3_etp_chef_jardinier+S3_etp_jardin+S3_etp_entretien+S3_etp_agricole+S3_etp_soigneur+S3_etp_resp_ecurie+S3_etp_gouvernance+S3_etp_maison</f>
        <v/>
      </c>
      <c r="M41" s="17">
        <f>S3_etp_direction+S3_etp_admin+S3_etp_chef_jardinier+S3_etp_jardin+S3_etp_entretien+S3_etp_agricole+S3_etp_soigneur+S3_etp_resp_ecurie+S3_etp_gouvernance+S3_etp_maison</f>
        <v/>
      </c>
    </row>
    <row r="42">
      <c r="A42" s="2" t="inlineStr">
        <is>
          <t>st_fonctionnement</t>
        </is>
      </c>
      <c r="B42" s="18" t="inlineStr">
        <is>
          <t>Sous-total des charges de fonctionnement</t>
        </is>
      </c>
      <c r="C42" s="2" t="inlineStr">
        <is>
          <t>Totaux</t>
        </is>
      </c>
      <c r="D42" s="16" t="n">
        <v>0</v>
      </c>
      <c r="E42" s="19">
        <f>E6+E9+E40+E20+E21+E22+E24+E26+E27+E29+E30+E31+E32+E33+E34+E35+E36+E37+E38+E39</f>
        <v/>
      </c>
      <c r="F42" s="19">
        <f>F6+F9+F40+F20+F21+F22+F24+F26+F27+F29+F30+F31+F32+F33+F34+F35+F36+F37+F38+F39</f>
        <v/>
      </c>
      <c r="G42" s="19">
        <f>G6+G9+G40+G20+G21+G22+G24+G26+G27+G29+G30+G31+G32+G33+G34+G35+G36+G37+G38+G39</f>
        <v/>
      </c>
      <c r="H42" s="19">
        <f>H6+H9+H40+H20+H21+H22+H24+H26+H27+H29+H30+H31+H32+H33+H34+H35+H36+H37+H38+H39</f>
        <v/>
      </c>
      <c r="I42" s="19">
        <f>I6+I9+I40+I20+I21+I22+I24+I26+I27+I29+I30+I31+I32+I33+I34+I35+I36+I37+I38+I39</f>
        <v/>
      </c>
      <c r="J42" s="19">
        <f>J6+J9+J40+J20+J21+J22+J24+J26+J27+J29+J30+J31+J32+J33+J34+J35+J36+J37+J38+J39</f>
        <v/>
      </c>
      <c r="K42" s="19">
        <f>K6+K9+K40+K20+K21+K22+K24+K26+K27+K29+K30+K31+K32+K33+K34+K35+K36+K37+K38+K39</f>
        <v/>
      </c>
      <c r="L42" s="19">
        <f>L6+L9+L40+L20+L21+L22+L24+L26+L27+L29+L30+L31+L32+L33+L34+L35+L36+L37+L38+L39</f>
        <v/>
      </c>
      <c r="M42" s="19">
        <f>M6+M9+M40+M20+M21+M22+M24+M26+M27+M29+M30+M31+M32+M33+M34+M35+M36+M37+M38+M39</f>
        <v/>
      </c>
    </row>
    <row r="43">
      <c r="A43" s="2" t="inlineStr">
        <is>
          <t>st_provisions</t>
        </is>
      </c>
      <c r="B43" s="18" t="inlineStr">
        <is>
          <t>Sous-total des provisions (gros entretien, aléas de chantier, renouvellements)</t>
        </is>
      </c>
      <c r="C43" s="2" t="inlineStr">
        <is>
          <t>Totaux</t>
        </is>
      </c>
      <c r="D43" s="16" t="n">
        <v>0</v>
      </c>
      <c r="E43" s="19">
        <f>E7+E8+E23+E25+E28</f>
        <v/>
      </c>
      <c r="F43" s="19">
        <f>F7+F8+F23+F25+F28</f>
        <v/>
      </c>
      <c r="G43" s="19">
        <f>G7+G8+G23+G25+G28</f>
        <v/>
      </c>
      <c r="H43" s="19">
        <f>H7+H8+H23+H25+H28</f>
        <v/>
      </c>
      <c r="I43" s="19">
        <f>I7+I8+I23+I25+I28</f>
        <v/>
      </c>
      <c r="J43" s="19">
        <f>J7+J8+J23+J25+J28</f>
        <v/>
      </c>
      <c r="K43" s="19">
        <f>K7+K8+K23+K25+K28</f>
        <v/>
      </c>
      <c r="L43" s="19">
        <f>L7+L8+L23+L25+L28</f>
        <v/>
      </c>
      <c r="M43" s="19">
        <f>M7+M8+M23+M25+M28</f>
        <v/>
      </c>
    </row>
    <row r="44">
      <c r="A44" s="2" t="inlineStr">
        <is>
          <t>imprevus</t>
        </is>
      </c>
      <c r="B44" s="2" t="inlineStr">
        <is>
          <t>Imprévus d'exploitation (en % des charges de fonctionnement)</t>
        </is>
      </c>
      <c r="C44" s="2" t="inlineStr">
        <is>
          <t>J. Imprévus</t>
        </is>
      </c>
      <c r="D44" s="16" t="n">
        <v>0</v>
      </c>
      <c r="E44" s="17">
        <f>E42*taux_imprevus_fav</f>
        <v/>
      </c>
      <c r="F44" s="17">
        <f>F42*taux_imprevus</f>
        <v/>
      </c>
      <c r="G44" s="17">
        <f>G42*taux_imprevus_def</f>
        <v/>
      </c>
      <c r="H44" s="17">
        <f>H42*taux_imprevus_fav</f>
        <v/>
      </c>
      <c r="I44" s="17">
        <f>I42*taux_imprevus</f>
        <v/>
      </c>
      <c r="J44" s="17">
        <f>J42*taux_imprevus_def</f>
        <v/>
      </c>
      <c r="K44" s="17">
        <f>K42*taux_imprevus_fav</f>
        <v/>
      </c>
      <c r="L44" s="17">
        <f>L42*taux_imprevus</f>
        <v/>
      </c>
      <c r="M44" s="17">
        <f>M42*taux_imprevus_def</f>
        <v/>
      </c>
    </row>
    <row r="45">
      <c r="A45" s="2" t="inlineStr">
        <is>
          <t>invest_futurs</t>
        </is>
      </c>
      <c r="B45" s="2" t="inlineStr">
        <is>
          <t>Investissements futurs : améliorations, mises aux normes, embellissements</t>
        </is>
      </c>
      <c r="C45" s="2" t="inlineStr">
        <is>
          <t>K. Investissements futurs</t>
        </is>
      </c>
      <c r="D45" s="16" t="n">
        <v>0.1</v>
      </c>
      <c r="E45" s="17">
        <f>(E42+E43)*taux_invest_futurs_fav</f>
        <v/>
      </c>
      <c r="F45" s="17">
        <f>(F42+F43)*taux_invest_futurs</f>
        <v/>
      </c>
      <c r="G45" s="17">
        <f>(G42+G43)*taux_invest_futurs_def</f>
        <v/>
      </c>
      <c r="H45" s="17">
        <f>(H42+H43)*taux_invest_futurs_fav</f>
        <v/>
      </c>
      <c r="I45" s="17">
        <f>(I42+I43)*taux_invest_futurs</f>
        <v/>
      </c>
      <c r="J45" s="17">
        <f>(J42+J43)*taux_invest_futurs_def</f>
        <v/>
      </c>
      <c r="K45" s="17">
        <f>(K42+K43)*taux_invest_futurs_fav</f>
        <v/>
      </c>
      <c r="L45" s="17">
        <f>(L42+L43)*taux_invest_futurs</f>
        <v/>
      </c>
      <c r="M45" s="17">
        <f>(M42+M43)*taux_invest_futurs_def</f>
        <v/>
      </c>
    </row>
    <row r="46">
      <c r="A46" s="2" t="inlineStr">
        <is>
          <t>total_besoin</t>
        </is>
      </c>
      <c r="B46" s="18" t="inlineStr">
        <is>
          <t>BESOIN ANNUEL DE TRÉSORERIE DU DOMAINE (hors dette, hors activités)</t>
        </is>
      </c>
      <c r="C46" s="2" t="inlineStr">
        <is>
          <t>Totaux</t>
        </is>
      </c>
      <c r="D46" s="16" t="n">
        <v>0</v>
      </c>
      <c r="E46" s="19">
        <f>E42+E43+E44+E45</f>
        <v/>
      </c>
      <c r="F46" s="19">
        <f>F42+F43+F44+F45</f>
        <v/>
      </c>
      <c r="G46" s="19">
        <f>G42+G43+G44+G45</f>
        <v/>
      </c>
      <c r="H46" s="19">
        <f>H42+H43+H44+H45</f>
        <v/>
      </c>
      <c r="I46" s="19">
        <f>I42+I43+I44+I45</f>
        <v/>
      </c>
      <c r="J46" s="19">
        <f>J42+J43+J44+J45</f>
        <v/>
      </c>
      <c r="K46" s="19">
        <f>K42+K43+K44+K45</f>
        <v/>
      </c>
      <c r="L46" s="19">
        <f>L42+L43+L44+L45</f>
        <v/>
      </c>
      <c r="M46" s="19">
        <f>M42+M43+M44+M45</f>
        <v/>
      </c>
    </row>
    <row r="47">
      <c r="A47" s="2" t="inlineStr">
        <is>
          <t>dont_personnel</t>
        </is>
      </c>
      <c r="B47" s="2" t="inlineStr">
        <is>
          <t>dont personnel</t>
        </is>
      </c>
      <c r="C47" s="2" t="inlineStr">
        <is>
          <t>Indicateurs</t>
        </is>
      </c>
      <c r="D47" s="16" t="n">
        <v>0</v>
      </c>
      <c r="E47" s="17">
        <f>E40</f>
        <v/>
      </c>
      <c r="F47" s="17">
        <f>F40</f>
        <v/>
      </c>
      <c r="G47" s="17">
        <f>G40</f>
        <v/>
      </c>
      <c r="H47" s="17">
        <f>H40</f>
        <v/>
      </c>
      <c r="I47" s="17">
        <f>I40</f>
        <v/>
      </c>
      <c r="J47" s="17">
        <f>J40</f>
        <v/>
      </c>
      <c r="K47" s="17">
        <f>K40</f>
        <v/>
      </c>
      <c r="L47" s="17">
        <f>L40</f>
        <v/>
      </c>
      <c r="M47" s="17">
        <f>M40</f>
        <v/>
      </c>
    </row>
    <row r="48">
      <c r="A48" s="2" t="inlineStr">
        <is>
          <t>dont_bati</t>
        </is>
      </c>
      <c r="B48" s="2" t="inlineStr">
        <is>
          <t>dont bâti (entretien courant, gros entretien, aléas, assurance, taxe foncière bâtie, sécurité)</t>
        </is>
      </c>
      <c r="C48" s="2" t="inlineStr">
        <is>
          <t>Indicateurs</t>
        </is>
      </c>
      <c r="D48" s="16" t="n">
        <v>0</v>
      </c>
      <c r="E48" s="17">
        <f>E6+E7+E8+E33+E35+E9</f>
        <v/>
      </c>
      <c r="F48" s="17">
        <f>F6+F7+F8+F33+F35+F9</f>
        <v/>
      </c>
      <c r="G48" s="17">
        <f>G6+G7+G8+G33+G35+G9</f>
        <v/>
      </c>
      <c r="H48" s="17">
        <f>H6+H7+H8+H33+H35+H9</f>
        <v/>
      </c>
      <c r="I48" s="17">
        <f>I6+I7+I8+I33+I35+I9</f>
        <v/>
      </c>
      <c r="J48" s="17">
        <f>J6+J7+J8+J33+J35+J9</f>
        <v/>
      </c>
      <c r="K48" s="17">
        <f>K6+K7+K8+K33+K35+K9</f>
        <v/>
      </c>
      <c r="L48" s="17">
        <f>L6+L7+L8+L33+L35+L9</f>
        <v/>
      </c>
      <c r="M48" s="17">
        <f>M6+M7+M8+M33+M35+M9</f>
        <v/>
      </c>
    </row>
    <row r="49">
      <c r="A49" s="2" t="inlineStr">
        <is>
          <t>part_personnel</t>
        </is>
      </c>
      <c r="B49" s="2" t="inlineStr">
        <is>
          <t>Part du personnel dans le besoin total</t>
        </is>
      </c>
      <c r="C49" s="2" t="inlineStr">
        <is>
          <t>Indicateurs</t>
        </is>
      </c>
      <c r="D49" s="16" t="n">
        <v>0</v>
      </c>
      <c r="E49" s="20">
        <f>E47/E46</f>
        <v/>
      </c>
      <c r="F49" s="20">
        <f>F47/F46</f>
        <v/>
      </c>
      <c r="G49" s="20">
        <f>G47/G46</f>
        <v/>
      </c>
      <c r="H49" s="20">
        <f>H47/H46</f>
        <v/>
      </c>
      <c r="I49" s="20">
        <f>I47/I46</f>
        <v/>
      </c>
      <c r="J49" s="20">
        <f>J47/J46</f>
        <v/>
      </c>
      <c r="K49" s="20">
        <f>K47/K46</f>
        <v/>
      </c>
      <c r="L49" s="20">
        <f>L47/L46</f>
        <v/>
      </c>
      <c r="M49" s="20">
        <f>M47/M46</f>
        <v/>
      </c>
    </row>
    <row r="50">
      <c r="A50" s="2" t="inlineStr">
        <is>
          <t>part_bati</t>
        </is>
      </c>
      <c r="B50" s="2" t="inlineStr">
        <is>
          <t>Part du bâti dans le besoin total</t>
        </is>
      </c>
      <c r="C50" s="2" t="inlineStr">
        <is>
          <t>Indicateurs</t>
        </is>
      </c>
      <c r="D50" s="16" t="n">
        <v>0</v>
      </c>
      <c r="E50" s="20">
        <f>E48/E46</f>
        <v/>
      </c>
      <c r="F50" s="20">
        <f>F48/F46</f>
        <v/>
      </c>
      <c r="G50" s="20">
        <f>G48/G46</f>
        <v/>
      </c>
      <c r="H50" s="20">
        <f>H48/H46</f>
        <v/>
      </c>
      <c r="I50" s="20">
        <f>I48/I46</f>
        <v/>
      </c>
      <c r="J50" s="20">
        <f>J48/J46</f>
        <v/>
      </c>
      <c r="K50" s="20">
        <f>K48/K46</f>
        <v/>
      </c>
      <c r="L50" s="20">
        <f>L48/L46</f>
        <v/>
      </c>
      <c r="M50" s="20">
        <f>M48/M46</f>
        <v/>
      </c>
    </row>
    <row r="51">
      <c r="A51" s="2" t="inlineStr">
        <is>
          <t>besoin_ht_societe</t>
        </is>
      </c>
      <c r="B51" s="2" t="inlineStr">
        <is>
          <t>Besoin si les charges sont portées par une société assujettie (TVA récupérée, ordre de grandeur)</t>
        </is>
      </c>
      <c r="C51" s="2" t="inlineStr">
        <is>
          <t>Indicateurs</t>
        </is>
      </c>
      <c r="D51" s="16" t="n">
        <v>0</v>
      </c>
      <c r="E51" s="17">
        <f>E46-(E6+E7+E8+E32+E45)*0.1/1.1-(E9+E20+E21+E22+E23+E24+E25+E26+E27+E28+E29+E30+E31+E38+E39)*0.2/1.2</f>
        <v/>
      </c>
      <c r="F51" s="17">
        <f>F46-(F6+F7+F8+F32+F45)*0.1/1.1-(F9+F20+F21+F22+F23+F24+F25+F26+F27+F28+F29+F30+F31+F38+F39)*0.2/1.2</f>
        <v/>
      </c>
      <c r="G51" s="17">
        <f>G46-(G6+G7+G8+G32+G45)*0.1/1.1-(G9+G20+G21+G22+G23+G24+G25+G26+G27+G28+G29+G30+G31+G38+G39)*0.2/1.2</f>
        <v/>
      </c>
      <c r="H51" s="17">
        <f>H46-(H6+H7+H8+H32+H45)*0.1/1.1-(H9+H20+H21+H22+H23+H24+H25+H26+H27+H28+H29+H30+H31+H38+H39)*0.2/1.2</f>
        <v/>
      </c>
      <c r="I51" s="17">
        <f>I46-(I6+I7+I8+I32+I45)*0.1/1.1-(I9+I20+I21+I22+I23+I24+I25+I26+I27+I28+I29+I30+I31+I38+I39)*0.2/1.2</f>
        <v/>
      </c>
      <c r="J51" s="17">
        <f>J46-(J6+J7+J8+J32+J45)*0.1/1.1-(J9+J20+J21+J22+J23+J24+J25+J26+J27+J28+J29+J30+J31+J38+J39)*0.2/1.2</f>
        <v/>
      </c>
      <c r="K51" s="17">
        <f>K46-(K6+K7+K8+K32+K45)*0.1/1.1-(K9+K20+K21+K22+K23+K24+K25+K26+K27+K28+K29+K30+K31+K38+K39)*0.2/1.2</f>
        <v/>
      </c>
      <c r="L51" s="17">
        <f>L46-(L6+L7+L8+L32+L45)*0.1/1.1-(L9+L20+L21+L22+L23+L24+L25+L26+L27+L28+L29+L30+L31+L38+L39)*0.2/1.2</f>
        <v/>
      </c>
      <c r="M51" s="17">
        <f>M46-(M6+M7+M8+M32+M45)*0.1/1.1-(M9+M20+M21+M22+M23+M24+M25+M26+M27+M28+M29+M30+M31+M38+M39)*0.2/1.2</f>
        <v/>
      </c>
    </row>
    <row r="52">
      <c r="A52" s="2" t="inlineStr">
        <is>
          <t>besoin_par_m2</t>
        </is>
      </c>
      <c r="B52" s="2" t="inlineStr">
        <is>
          <t>Besoin total par m² de plancher bâti (château + dépendances), en €/m²</t>
        </is>
      </c>
      <c r="C52" s="2" t="inlineStr">
        <is>
          <t>Indicateurs</t>
        </is>
      </c>
      <c r="D52" s="16" t="n">
        <v>0</v>
      </c>
      <c r="E52" s="17">
        <f>E46/(S1_surf_chateau+S1_surf_dep)</f>
        <v/>
      </c>
      <c r="F52" s="17">
        <f>F46/(S1_surf_chateau+S1_surf_dep)</f>
        <v/>
      </c>
      <c r="G52" s="17">
        <f>G46/(S1_surf_chateau+S1_surf_dep)</f>
        <v/>
      </c>
      <c r="H52" s="17">
        <f>H46/(S2_surf_chateau+S2_surf_dep)</f>
        <v/>
      </c>
      <c r="I52" s="17">
        <f>I46/(S2_surf_chateau+S2_surf_dep)</f>
        <v/>
      </c>
      <c r="J52" s="17">
        <f>J46/(S2_surf_chateau+S2_surf_dep)</f>
        <v/>
      </c>
      <c r="K52" s="17">
        <f>K46/(S3_surf_chateau+S3_surf_dep)</f>
        <v/>
      </c>
      <c r="L52" s="17">
        <f>L46/(S3_surf_chateau+S3_surf_dep)</f>
        <v/>
      </c>
      <c r="M52" s="17">
        <f>M46/(S3_surf_chateau+S3_surf_dep)</f>
        <v/>
      </c>
    </row>
    <row r="53">
      <c r="A53" s="2" t="inlineStr">
        <is>
          <t>besoin_en_pct_valeur</t>
        </is>
      </c>
      <c r="B53" s="2" t="inlineStr">
        <is>
          <t>Besoin annuel en % de la valeur de reconstruction</t>
        </is>
      </c>
      <c r="C53" s="2" t="inlineStr">
        <is>
          <t>Indicateurs</t>
        </is>
      </c>
      <c r="D53" s="16" t="n">
        <v>0</v>
      </c>
      <c r="E53" s="20">
        <f>E46/E5</f>
        <v/>
      </c>
      <c r="F53" s="20">
        <f>F46/F5</f>
        <v/>
      </c>
      <c r="G53" s="20">
        <f>G46/G5</f>
        <v/>
      </c>
      <c r="H53" s="20">
        <f>H46/H5</f>
        <v/>
      </c>
      <c r="I53" s="20">
        <f>I46/I5</f>
        <v/>
      </c>
      <c r="J53" s="20">
        <f>J46/J5</f>
        <v/>
      </c>
      <c r="K53" s="20">
        <f>K46/K5</f>
        <v/>
      </c>
      <c r="L53" s="20">
        <f>L46/L5</f>
        <v/>
      </c>
      <c r="M53" s="20">
        <f>M46/M5</f>
        <v/>
      </c>
    </row>
    <row r="54">
      <c r="A54" s="2" t="inlineStr">
        <is>
          <t>dette_annuite</t>
        </is>
      </c>
      <c r="B54" s="2" t="inlineStr">
        <is>
          <t>Scénario complémentaire : annuité d'une dette d'acquisition</t>
        </is>
      </c>
      <c r="C54" s="2" t="inlineStr">
        <is>
          <t>Scénario dette</t>
        </is>
      </c>
      <c r="D54" s="16" t="n">
        <v>0</v>
      </c>
      <c r="E54" s="17">
        <f>-PMT(dette_taux_fav,dette_duree_fav,S1_prix_achat*dette_quotite_fav)</f>
        <v/>
      </c>
      <c r="F54" s="17">
        <f>-PMT(dette_taux,dette_duree,S1_prix_achat*dette_quotite)</f>
        <v/>
      </c>
      <c r="G54" s="17">
        <f>-PMT(dette_taux_def,dette_duree_def,S1_prix_achat*dette_quotite_def)</f>
        <v/>
      </c>
      <c r="H54" s="17">
        <f>-PMT(dette_taux_fav,dette_duree_fav,S2_prix_achat*dette_quotite_fav)</f>
        <v/>
      </c>
      <c r="I54" s="17">
        <f>-PMT(dette_taux,dette_duree,S2_prix_achat*dette_quotite)</f>
        <v/>
      </c>
      <c r="J54" s="17">
        <f>-PMT(dette_taux_def,dette_duree_def,S2_prix_achat*dette_quotite_def)</f>
        <v/>
      </c>
      <c r="K54" s="17">
        <f>-PMT(dette_taux_fav,dette_duree_fav,S3_prix_achat*dette_quotite_fav)</f>
        <v/>
      </c>
      <c r="L54" s="17">
        <f>-PMT(dette_taux,dette_duree,S3_prix_achat*dette_quotite)</f>
        <v/>
      </c>
      <c r="M54" s="17">
        <f>-PMT(dette_taux_def,dette_duree_def,S3_prix_achat*dette_quotite_def)</f>
        <v/>
      </c>
    </row>
    <row r="55">
      <c r="A55" s="2" t="inlineStr">
        <is>
          <t>total_avec_dette</t>
        </is>
      </c>
      <c r="B55" s="18" t="inlineStr">
        <is>
          <t>BESOIN ANNUEL AVEC DETTE D'ACQUISITION (scénario complémentaire)</t>
        </is>
      </c>
      <c r="C55" s="2" t="inlineStr">
        <is>
          <t>Scénario dette</t>
        </is>
      </c>
      <c r="D55" s="16" t="n">
        <v>0</v>
      </c>
      <c r="E55" s="19">
        <f>E46+E54</f>
        <v/>
      </c>
      <c r="F55" s="19">
        <f>F46+F54</f>
        <v/>
      </c>
      <c r="G55" s="19">
        <f>G46+G54</f>
        <v/>
      </c>
      <c r="H55" s="19">
        <f>H46+H54</f>
        <v/>
      </c>
      <c r="I55" s="19">
        <f>I46+I54</f>
        <v/>
      </c>
      <c r="J55" s="19">
        <f>J46+J54</f>
        <v/>
      </c>
      <c r="K55" s="19">
        <f>K46+K54</f>
        <v/>
      </c>
      <c r="L55" s="19">
        <f>L46+L54</f>
        <v/>
      </c>
      <c r="M55" s="19">
        <f>M46+M54</f>
        <v/>
      </c>
    </row>
  </sheetData>
  <mergeCells count="1">
    <mergeCell ref="A2:M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1"/>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22" customWidth="1" min="1" max="1"/>
    <col width="62" customWidth="1" min="2" max="2"/>
    <col width="20" customWidth="1" min="3" max="3"/>
    <col width="10" customWidth="1" min="4" max="4"/>
    <col width="15" customWidth="1" min="5" max="5"/>
    <col width="15" customWidth="1" min="6" max="6"/>
    <col width="15" customWidth="1" min="7" max="7"/>
  </cols>
  <sheetData>
    <row r="1">
      <c r="A1" s="1" t="inlineStr">
        <is>
          <t>MOTEURS DE REVENUS — économie unitaire à l'échelle d'un domaine S2 (€ 2026 HT, par an)</t>
        </is>
      </c>
    </row>
    <row r="2" ht="54" customHeight="1">
      <c r="A2" s="3" t="inlineStr">
        <is>
          <t>Contribution nette = chiffre d'affaires HT − charges propres (personnel compris) − provision de renouvellement des investissements propres, avant impôt sur les sociétés. Les installations déjà financées par le budget du domaine (écuries, manège) ne sont pas recomptées. Classe : voir la feuille Modeles.</t>
        </is>
      </c>
    </row>
    <row r="4">
      <c r="A4" s="4" t="inlineStr">
        <is>
          <t>Ligne</t>
        </is>
      </c>
      <c r="B4" s="4" t="inlineStr">
        <is>
          <t>Libellé</t>
        </is>
      </c>
      <c r="C4" s="4" t="inlineStr">
        <is>
          <t>Catégorie</t>
        </is>
      </c>
      <c r="D4" s="4" t="inlineStr">
        <is>
          <t>TVA contenue</t>
        </is>
      </c>
      <c r="E4" s="4" t="inlineStr">
        <is>
          <t>Favorable</t>
        </is>
      </c>
      <c r="F4" s="4" t="inlineStr">
        <is>
          <t>Central</t>
        </is>
      </c>
      <c r="G4" s="4" t="inlineStr">
        <is>
          <t>Défavorable</t>
        </is>
      </c>
    </row>
    <row r="5">
      <c r="A5" s="2" t="inlineStr">
        <is>
          <t>eq_std_ca</t>
        </is>
      </c>
      <c r="B5" s="2" t="inlineStr">
        <is>
          <t>Pension standard — CA HT</t>
        </is>
      </c>
      <c r="C5" s="2" t="inlineStr">
        <is>
          <t>EQ_STD</t>
        </is>
      </c>
      <c r="D5" s="16" t="n">
        <v>0</v>
      </c>
      <c r="E5" s="17">
        <f>eq_std_boxes_fav*eq_std_occ_fav*12*eq_std_prix_ht_fav</f>
        <v/>
      </c>
      <c r="F5" s="17">
        <f>eq_std_boxes*eq_std_occ*12*eq_std_prix_ht</f>
        <v/>
      </c>
      <c r="G5" s="17">
        <f>eq_std_boxes_def*eq_std_occ_def*12*eq_std_prix_ht_def</f>
        <v/>
      </c>
    </row>
    <row r="6">
      <c r="A6" s="2" t="inlineStr">
        <is>
          <t>eq_std_ch</t>
        </is>
      </c>
      <c r="B6" s="2" t="inlineStr">
        <is>
          <t>Pension standard — charges</t>
        </is>
      </c>
      <c r="C6" s="2" t="inlineStr">
        <is>
          <t>EQ_STD</t>
        </is>
      </c>
      <c r="D6" s="16" t="n">
        <v>0</v>
      </c>
      <c r="E6" s="17">
        <f>eq_std_boxes_fav*eq_std_occ_fav*eq_std_cout_var_fav+eq_std_boxes_fav*eq_std_cout_fixe_fav</f>
        <v/>
      </c>
      <c r="F6" s="17">
        <f>eq_std_boxes*eq_std_occ*eq_std_cout_var+eq_std_boxes*eq_std_cout_fixe</f>
        <v/>
      </c>
      <c r="G6" s="17">
        <f>eq_std_boxes_def*eq_std_occ_def*eq_std_cout_var_def+eq_std_boxes_def*eq_std_cout_fixe_def</f>
        <v/>
      </c>
    </row>
    <row r="7">
      <c r="A7" s="2" t="inlineStr">
        <is>
          <t>eq_std_cn</t>
        </is>
      </c>
      <c r="B7" s="2" t="inlineStr">
        <is>
          <t>Pension standard — CONTRIBUTION NETTE</t>
        </is>
      </c>
      <c r="C7" s="2" t="inlineStr">
        <is>
          <t>EQ_STD</t>
        </is>
      </c>
      <c r="D7" s="16" t="n">
        <v>0</v>
      </c>
      <c r="E7" s="17">
        <f>E5-E6</f>
        <v/>
      </c>
      <c r="F7" s="17">
        <f>F5-F6</f>
        <v/>
      </c>
      <c r="G7" s="17">
        <f>G5-G6</f>
        <v/>
      </c>
    </row>
    <row r="8">
      <c r="A8" s="2" t="inlineStr">
        <is>
          <t>eq_hdg_ca</t>
        </is>
      </c>
      <c r="B8" s="2" t="inlineStr">
        <is>
          <t>Pension haut de gamme — CA HT</t>
        </is>
      </c>
      <c r="C8" s="2" t="inlineStr">
        <is>
          <t>EQ_HDG</t>
        </is>
      </c>
      <c r="D8" s="16" t="n">
        <v>0</v>
      </c>
      <c r="E8" s="17">
        <f>eq_hdg_boxes_fav*eq_hdg_occ_fav*12*eq_hdg_prix_ht_fav</f>
        <v/>
      </c>
      <c r="F8" s="17">
        <f>eq_hdg_boxes*eq_hdg_occ*12*eq_hdg_prix_ht</f>
        <v/>
      </c>
      <c r="G8" s="17">
        <f>eq_hdg_boxes_def*eq_hdg_occ_def*12*eq_hdg_prix_ht_def</f>
        <v/>
      </c>
    </row>
    <row r="9">
      <c r="A9" s="2" t="inlineStr">
        <is>
          <t>eq_hdg_ch</t>
        </is>
      </c>
      <c r="B9" s="2" t="inlineStr">
        <is>
          <t>Pension haut de gamme — charges</t>
        </is>
      </c>
      <c r="C9" s="2" t="inlineStr">
        <is>
          <t>EQ_HDG</t>
        </is>
      </c>
      <c r="D9" s="16" t="n">
        <v>0</v>
      </c>
      <c r="E9" s="17">
        <f>eq_hdg_boxes_fav*eq_hdg_occ_fav*eq_hdg_cout_var_fav+eq_hdg_boxes_fav*eq_hdg_cout_fixe_fav</f>
        <v/>
      </c>
      <c r="F9" s="17">
        <f>eq_hdg_boxes*eq_hdg_occ*eq_hdg_cout_var+eq_hdg_boxes*eq_hdg_cout_fixe</f>
        <v/>
      </c>
      <c r="G9" s="17">
        <f>eq_hdg_boxes_def*eq_hdg_occ_def*eq_hdg_cout_var_def+eq_hdg_boxes_def*eq_hdg_cout_fixe_def</f>
        <v/>
      </c>
    </row>
    <row r="10">
      <c r="A10" s="2" t="inlineStr">
        <is>
          <t>eq_hdg_cn</t>
        </is>
      </c>
      <c r="B10" s="2" t="inlineStr">
        <is>
          <t>Pension haut de gamme — CONTRIBUTION NETTE</t>
        </is>
      </c>
      <c r="C10" s="2" t="inlineStr">
        <is>
          <t>EQ_HDG</t>
        </is>
      </c>
      <c r="D10" s="16" t="n">
        <v>0</v>
      </c>
      <c r="E10" s="17">
        <f>E8-E9</f>
        <v/>
      </c>
      <c r="F10" s="17">
        <f>F8-F9</f>
        <v/>
      </c>
      <c r="G10" s="17">
        <f>G8-G9</f>
        <v/>
      </c>
    </row>
    <row r="11">
      <c r="A11" s="2" t="inlineStr">
        <is>
          <t>eq_pro_ca</t>
        </is>
      </c>
      <c r="B11" s="2" t="inlineStr">
        <is>
          <t>Écuries louées à un professionnel — redevances</t>
        </is>
      </c>
      <c r="C11" s="2" t="inlineStr">
        <is>
          <t>EQ_PRO</t>
        </is>
      </c>
      <c r="D11" s="16" t="n">
        <v>0</v>
      </c>
      <c r="E11" s="17">
        <f>eq_pro_boxes_fav*eq_pro_loyer_box_fav</f>
        <v/>
      </c>
      <c r="F11" s="17">
        <f>eq_pro_boxes*eq_pro_loyer_box</f>
        <v/>
      </c>
      <c r="G11" s="17">
        <f>eq_pro_boxes_def*eq_pro_loyer_box_def</f>
        <v/>
      </c>
    </row>
    <row r="12">
      <c r="A12" s="2" t="inlineStr">
        <is>
          <t>eq_pro_cn</t>
        </is>
      </c>
      <c r="B12" s="2" t="inlineStr">
        <is>
          <t>Écuries louées — CONTRIBUTION NETTE</t>
        </is>
      </c>
      <c r="C12" s="2" t="inlineStr">
        <is>
          <t>EQ_PRO</t>
        </is>
      </c>
      <c r="D12" s="16" t="n">
        <v>0</v>
      </c>
      <c r="E12" s="17">
        <f>E11-eq_pro_boxes_fav*eq_pro_cout_box_fav</f>
        <v/>
      </c>
      <c r="F12" s="17">
        <f>F11-eq_pro_boxes*eq_pro_cout_box</f>
        <v/>
      </c>
      <c r="G12" s="17">
        <f>G11-eq_pro_boxes_def*eq_pro_cout_box_def</f>
        <v/>
      </c>
    </row>
    <row r="13">
      <c r="A13" s="2" t="inlineStr">
        <is>
          <t>eq_ret_ca</t>
        </is>
      </c>
      <c r="B13" s="2" t="inlineStr">
        <is>
          <t>Pension retraite au pré — CA HT</t>
        </is>
      </c>
      <c r="C13" s="2" t="inlineStr">
        <is>
          <t>EQ_RET</t>
        </is>
      </c>
      <c r="D13" s="16" t="n">
        <v>0</v>
      </c>
      <c r="E13" s="17">
        <f>eq_ret_chevaux_fav*eq_ret_occ_fav*12*eq_ret_prix_ht_fav</f>
        <v/>
      </c>
      <c r="F13" s="17">
        <f>eq_ret_chevaux*eq_ret_occ*12*eq_ret_prix_ht</f>
        <v/>
      </c>
      <c r="G13" s="17">
        <f>eq_ret_chevaux_def*eq_ret_occ_def*12*eq_ret_prix_ht_def</f>
        <v/>
      </c>
    </row>
    <row r="14">
      <c r="A14" s="2" t="inlineStr">
        <is>
          <t>eq_ret_cn</t>
        </is>
      </c>
      <c r="B14" s="2" t="inlineStr">
        <is>
          <t>Pension retraite — CONTRIBUTION NETTE</t>
        </is>
      </c>
      <c r="C14" s="2" t="inlineStr">
        <is>
          <t>EQ_RET</t>
        </is>
      </c>
      <c r="D14" s="16" t="n">
        <v>0</v>
      </c>
      <c r="E14" s="17">
        <f>E13-eq_ret_chevaux_fav*eq_ret_occ_fav*eq_ret_cout_fav</f>
        <v/>
      </c>
      <c r="F14" s="17">
        <f>F13-eq_ret_chevaux*eq_ret_occ*eq_ret_cout</f>
        <v/>
      </c>
      <c r="G14" s="17">
        <f>G13-eq_ret_chevaux_def*eq_ret_occ_def*eq_ret_cout_def</f>
        <v/>
      </c>
    </row>
    <row r="15">
      <c r="A15" s="2" t="inlineStr">
        <is>
          <t>repro_cn</t>
        </is>
      </c>
      <c r="B15" s="2" t="inlineStr">
        <is>
          <t>Centre de reproduction — CONTRIBUTION NETTE (si vétérinaire et étalon)</t>
        </is>
      </c>
      <c r="C15" s="2" t="inlineStr">
        <is>
          <t>REPRO</t>
        </is>
      </c>
      <c r="D15" s="16" t="n">
        <v>0</v>
      </c>
      <c r="E15" s="17">
        <f>repro_contrib_fav</f>
        <v/>
      </c>
      <c r="F15" s="17">
        <f>repro_contrib</f>
        <v/>
      </c>
      <c r="G15" s="17">
        <f>repro_contrib_def</f>
        <v/>
      </c>
    </row>
    <row r="16">
      <c r="A16" s="2" t="inlineStr">
        <is>
          <t>evt_ca</t>
        </is>
      </c>
      <c r="B16" s="2" t="inlineStr">
        <is>
          <t>Réceptions privées — CA HT</t>
        </is>
      </c>
      <c r="C16" s="2" t="inlineStr">
        <is>
          <t>EVT</t>
        </is>
      </c>
      <c r="D16" s="16" t="n">
        <v>0</v>
      </c>
      <c r="E16" s="17">
        <f>evt_nb_fav*evt_prix_ht_fav</f>
        <v/>
      </c>
      <c r="F16" s="17">
        <f>evt_nb*evt_prix_ht</f>
        <v/>
      </c>
      <c r="G16" s="17">
        <f>evt_nb_def*evt_prix_ht_def</f>
        <v/>
      </c>
    </row>
    <row r="17">
      <c r="A17" s="2" t="inlineStr">
        <is>
          <t>evt_ch</t>
        </is>
      </c>
      <c r="B17" s="2" t="inlineStr">
        <is>
          <t>Réceptions — charges (variables + fixes)</t>
        </is>
      </c>
      <c r="C17" s="2" t="inlineStr">
        <is>
          <t>EVT</t>
        </is>
      </c>
      <c r="D17" s="16" t="n">
        <v>0</v>
      </c>
      <c r="E17" s="17">
        <f>E16*evt_var_fav+evt_fixe_fav</f>
        <v/>
      </c>
      <c r="F17" s="17">
        <f>F16*evt_var+evt_fixe</f>
        <v/>
      </c>
      <c r="G17" s="17">
        <f>G16*evt_var_def+evt_fixe_def</f>
        <v/>
      </c>
    </row>
    <row r="18">
      <c r="A18" s="2" t="inlineStr">
        <is>
          <t>evt_rv</t>
        </is>
      </c>
      <c r="B18" s="2" t="inlineStr">
        <is>
          <t>Réceptions — provision de renouvellement de la salle</t>
        </is>
      </c>
      <c r="C18" s="2" t="inlineStr">
        <is>
          <t>EVT</t>
        </is>
      </c>
      <c r="D18" s="16" t="n">
        <v>0</v>
      </c>
      <c r="E18" s="17">
        <f>evt_capex_fav*taux_renouv_capex_fav</f>
        <v/>
      </c>
      <c r="F18" s="17">
        <f>evt_capex*taux_renouv_capex</f>
        <v/>
      </c>
      <c r="G18" s="17">
        <f>evt_capex_def*taux_renouv_capex_def</f>
        <v/>
      </c>
    </row>
    <row r="19">
      <c r="A19" s="2" t="inlineStr">
        <is>
          <t>evt_cn</t>
        </is>
      </c>
      <c r="B19" s="2" t="inlineStr">
        <is>
          <t>Réceptions — CONTRIBUTION NETTE</t>
        </is>
      </c>
      <c r="C19" s="2" t="inlineStr">
        <is>
          <t>EVT</t>
        </is>
      </c>
      <c r="D19" s="16" t="n">
        <v>0</v>
      </c>
      <c r="E19" s="17">
        <f>E16-E17-E18</f>
        <v/>
      </c>
      <c r="F19" s="17">
        <f>F16-F17-F18</f>
        <v/>
      </c>
      <c r="G19" s="17">
        <f>G16-G17-G18</f>
        <v/>
      </c>
    </row>
    <row r="20">
      <c r="A20" s="2" t="inlineStr">
        <is>
          <t>evt_inv</t>
        </is>
      </c>
      <c r="B20" s="2" t="inlineStr">
        <is>
          <t>Réceptions — investissement initial (salle ERP)</t>
        </is>
      </c>
      <c r="C20" s="2" t="inlineStr">
        <is>
          <t>EVT</t>
        </is>
      </c>
      <c r="D20" s="16" t="n">
        <v>0</v>
      </c>
      <c r="E20" s="17">
        <f>evt_capex_fav</f>
        <v/>
      </c>
      <c r="F20" s="17">
        <f>evt_capex</f>
        <v/>
      </c>
      <c r="G20" s="17">
        <f>evt_capex_def</f>
        <v/>
      </c>
    </row>
    <row r="21">
      <c r="A21" s="2" t="inlineStr">
        <is>
          <t>tourn_cn</t>
        </is>
      </c>
      <c r="B21" s="2" t="inlineStr">
        <is>
          <t>Tournages et prises de vue — CONTRIBUTION NETTE</t>
        </is>
      </c>
      <c r="C21" s="2" t="inlineStr">
        <is>
          <t>TOURN</t>
        </is>
      </c>
      <c r="D21" s="16" t="n">
        <v>0</v>
      </c>
      <c r="E21" s="17">
        <f>tourn_jours_fav*tourn_tarif_fav*(1-tourn_var_fav)</f>
        <v/>
      </c>
      <c r="F21" s="17">
        <f>tourn_jours*tourn_tarif*(1-tourn_var)</f>
        <v/>
      </c>
      <c r="G21" s="17">
        <f>tourn_jours_def*tourn_tarif_def*(1-tourn_var_def)</f>
        <v/>
      </c>
    </row>
    <row r="22">
      <c r="A22" s="2" t="inlineStr">
        <is>
          <t>semj_ca</t>
        </is>
      </c>
      <c r="B22" s="2" t="inlineStr">
        <is>
          <t>Séminaires de jour — CA HT</t>
        </is>
      </c>
      <c r="C22" s="2" t="inlineStr">
        <is>
          <t>SEMJ</t>
        </is>
      </c>
      <c r="D22" s="16" t="n">
        <v>0</v>
      </c>
      <c r="E22" s="17">
        <f>semj_jours_fav*semj_pers_fav*semj_prix_fav</f>
        <v/>
      </c>
      <c r="F22" s="17">
        <f>semj_jours*semj_pers*semj_prix</f>
        <v/>
      </c>
      <c r="G22" s="17">
        <f>semj_jours_def*semj_pers_def*semj_prix_def</f>
        <v/>
      </c>
    </row>
    <row r="23">
      <c r="A23" s="2" t="inlineStr">
        <is>
          <t>semj_cn</t>
        </is>
      </c>
      <c r="B23" s="2" t="inlineStr">
        <is>
          <t>Séminaires de jour — CONTRIBUTION NETTE</t>
        </is>
      </c>
      <c r="C23" s="2" t="inlineStr">
        <is>
          <t>SEMJ</t>
        </is>
      </c>
      <c r="D23" s="16" t="n">
        <v>0</v>
      </c>
      <c r="E23" s="17">
        <f>E22*semj_marge_fav</f>
        <v/>
      </c>
      <c r="F23" s="17">
        <f>F22*semj_marge</f>
        <v/>
      </c>
      <c r="G23" s="17">
        <f>G22*semj_marge_def</f>
        <v/>
      </c>
    </row>
    <row r="24">
      <c r="A24" s="2" t="inlineStr">
        <is>
          <t>gite_ca</t>
        </is>
      </c>
      <c r="B24" s="2" t="inlineStr">
        <is>
          <t>Grande maison à la semaine — CA HT</t>
        </is>
      </c>
      <c r="C24" s="2" t="inlineStr">
        <is>
          <t>GITE</t>
        </is>
      </c>
      <c r="D24" s="16" t="n">
        <v>0</v>
      </c>
      <c r="E24" s="17">
        <f>gite_semaines_fav*gite_prix_semaine_fav</f>
        <v/>
      </c>
      <c r="F24" s="17">
        <f>gite_semaines*gite_prix_semaine</f>
        <v/>
      </c>
      <c r="G24" s="17">
        <f>gite_semaines_def*gite_prix_semaine_def</f>
        <v/>
      </c>
    </row>
    <row r="25">
      <c r="A25" s="2" t="inlineStr">
        <is>
          <t>gite_cn</t>
        </is>
      </c>
      <c r="B25" s="2" t="inlineStr">
        <is>
          <t>Grande maison — CONTRIBUTION NETTE</t>
        </is>
      </c>
      <c r="C25" s="2" t="inlineStr">
        <is>
          <t>GITE</t>
        </is>
      </c>
      <c r="D25" s="16" t="n">
        <v>0</v>
      </c>
      <c r="E25" s="17">
        <f>E24*(1-gite_var_fav)-gite_fixe_fav-gite_capex_fav*taux_renouv_capex_fav</f>
        <v/>
      </c>
      <c r="F25" s="17">
        <f>F24*(1-gite_var)-gite_fixe-gite_capex*taux_renouv_capex</f>
        <v/>
      </c>
      <c r="G25" s="17">
        <f>G24*(1-gite_var_def)-gite_fixe_def-gite_capex_def*taux_renouv_capex_def</f>
        <v/>
      </c>
    </row>
    <row r="26">
      <c r="A26" s="2" t="inlineStr">
        <is>
          <t>gite_inv</t>
        </is>
      </c>
      <c r="B26" s="2" t="inlineStr">
        <is>
          <t>Grande maison — investissement initial</t>
        </is>
      </c>
      <c r="C26" s="2" t="inlineStr">
        <is>
          <t>GITE</t>
        </is>
      </c>
      <c r="D26" s="16" t="n">
        <v>0</v>
      </c>
      <c r="E26" s="17">
        <f>gite_capex_fav</f>
        <v/>
      </c>
      <c r="F26" s="17">
        <f>gite_capex</f>
        <v/>
      </c>
      <c r="G26" s="17">
        <f>gite_capex_def</f>
        <v/>
      </c>
    </row>
    <row r="27">
      <c r="A27" s="2" t="inlineStr">
        <is>
          <t>log_ca</t>
        </is>
      </c>
      <c r="B27" s="2" t="inlineStr">
        <is>
          <t>Logements locatifs — loyers annuels</t>
        </is>
      </c>
      <c r="C27" s="2" t="inlineStr">
        <is>
          <t>LOG</t>
        </is>
      </c>
      <c r="D27" s="16" t="n">
        <v>0</v>
      </c>
      <c r="E27" s="17">
        <f>log_m2_fav*log_loyer_m2_fav*12*(1-log_vacance_fav)</f>
        <v/>
      </c>
      <c r="F27" s="17">
        <f>log_m2*log_loyer_m2*12*(1-log_vacance)</f>
        <v/>
      </c>
      <c r="G27" s="17">
        <f>log_m2_def*log_loyer_m2_def*12*(1-log_vacance_def)</f>
        <v/>
      </c>
    </row>
    <row r="28">
      <c r="A28" s="2" t="inlineStr">
        <is>
          <t>log_cn</t>
        </is>
      </c>
      <c r="B28" s="2" t="inlineStr">
        <is>
          <t>Logements locatifs — CONTRIBUTION NETTE</t>
        </is>
      </c>
      <c r="C28" s="2" t="inlineStr">
        <is>
          <t>LOG</t>
        </is>
      </c>
      <c r="D28" s="16" t="n">
        <v>0</v>
      </c>
      <c r="E28" s="17">
        <f>E27*(1-log_charges_fav)-log_m2_fav*log_capex_m2_fav*0.01</f>
        <v/>
      </c>
      <c r="F28" s="17">
        <f>F27*(1-log_charges)-log_m2*log_capex_m2*0.01</f>
        <v/>
      </c>
      <c r="G28" s="17">
        <f>G27*(1-log_charges_def)-log_m2_def*log_capex_m2_def*0.01</f>
        <v/>
      </c>
    </row>
    <row r="29">
      <c r="A29" s="2" t="inlineStr">
        <is>
          <t>log_inv</t>
        </is>
      </c>
      <c r="B29" s="2" t="inlineStr">
        <is>
          <t>Logements locatifs — investissement initial</t>
        </is>
      </c>
      <c r="C29" s="2" t="inlineStr">
        <is>
          <t>LOG</t>
        </is>
      </c>
      <c r="D29" s="16" t="n">
        <v>0</v>
      </c>
      <c r="E29" s="17">
        <f>log_m2_fav*log_capex_m2_fav</f>
        <v/>
      </c>
      <c r="F29" s="17">
        <f>log_m2*log_capex_m2</f>
        <v/>
      </c>
      <c r="G29" s="17">
        <f>log_m2_def*log_capex_m2_def</f>
        <v/>
      </c>
    </row>
    <row r="30">
      <c r="A30" s="2" t="inlineStr">
        <is>
          <t>log_rdt</t>
        </is>
      </c>
      <c r="B30" s="2" t="inlineStr">
        <is>
          <t>Logements locatifs — rendement net sur investissement</t>
        </is>
      </c>
      <c r="C30" s="2" t="inlineStr">
        <is>
          <t>LOG</t>
        </is>
      </c>
      <c r="D30" s="16" t="n">
        <v>0</v>
      </c>
      <c r="E30" s="20">
        <f>E28/E29</f>
        <v/>
      </c>
      <c r="F30" s="20">
        <f>F28/F29</f>
        <v/>
      </c>
      <c r="G30" s="20">
        <f>G28/G29</f>
        <v/>
      </c>
    </row>
    <row r="31">
      <c r="A31" s="2" t="inlineStr">
        <is>
          <t>stock_cn</t>
        </is>
      </c>
      <c r="B31" s="2" t="inlineStr">
        <is>
          <t>Hivernage de véhicules — CONTRIBUTION NETTE</t>
        </is>
      </c>
      <c r="C31" s="2" t="inlineStr">
        <is>
          <t>STOCK</t>
        </is>
      </c>
      <c r="D31" s="16" t="n">
        <v>0</v>
      </c>
      <c r="E31" s="17">
        <f>stock_places_fav*stock_occ_fav*stock_prix_fav*0.85-stock_capex_fav*taux_renouv_capex_fav</f>
        <v/>
      </c>
      <c r="F31" s="17">
        <f>stock_places*stock_occ*stock_prix*0.85-stock_capex*taux_renouv_capex</f>
        <v/>
      </c>
      <c r="G31" s="17">
        <f>stock_places_def*stock_occ_def*stock_prix_def*0.85-stock_capex_def*taux_renouv_capex_def</f>
        <v/>
      </c>
    </row>
    <row r="32">
      <c r="A32" s="2" t="inlineStr">
        <is>
          <t>auto_cn</t>
        </is>
      </c>
      <c r="B32" s="2" t="inlineStr">
        <is>
          <t>Gardiennage de voitures de collection — CONTRIBUTION NETTE</t>
        </is>
      </c>
      <c r="C32" s="2" t="inlineStr">
        <is>
          <t>AUTO</t>
        </is>
      </c>
      <c r="D32" s="16" t="n">
        <v>0</v>
      </c>
      <c r="E32" s="17">
        <f>auto_places_fav*auto_occ_fav*auto_prix_fav-auto_fixe_fav-auto_capex_fav*taux_renouv_capex_fav</f>
        <v/>
      </c>
      <c r="F32" s="17">
        <f>auto_places*auto_occ*auto_prix-auto_fixe-auto_capex*taux_renouv_capex</f>
        <v/>
      </c>
      <c r="G32" s="17">
        <f>auto_places_def*auto_occ_def*auto_prix_def-auto_fixe_def-auto_capex_def*taux_renouv_capex_def</f>
        <v/>
      </c>
    </row>
    <row r="33">
      <c r="A33" s="2" t="inlineStr">
        <is>
          <t>pv_cn</t>
        </is>
      </c>
      <c r="B33" s="2" t="inlineStr">
        <is>
          <t>Bail solaire — CONTRIBUTION NETTE</t>
        </is>
      </c>
      <c r="C33" s="2" t="inlineStr">
        <is>
          <t>PV</t>
        </is>
      </c>
      <c r="D33" s="16" t="n">
        <v>0</v>
      </c>
      <c r="E33" s="17">
        <f>pv_ha_fav*pv_loyer_ha_fav</f>
        <v/>
      </c>
      <c r="F33" s="17">
        <f>pv_ha*pv_loyer_ha</f>
        <v/>
      </c>
      <c r="G33" s="17">
        <f>pv_ha_def*pv_loyer_ha_def</f>
        <v/>
      </c>
    </row>
    <row r="34">
      <c r="A34" s="2" t="inlineStr">
        <is>
          <t>bois_cn</t>
        </is>
      </c>
      <c r="B34" s="2" t="inlineStr">
        <is>
          <t>Forêt (S2, 30 ha) — CONTRIBUTION NETTE</t>
        </is>
      </c>
      <c r="C34" s="2" t="inlineStr">
        <is>
          <t>BOIS</t>
        </is>
      </c>
      <c r="D34" s="16" t="n">
        <v>0</v>
      </c>
      <c r="E34" s="17">
        <f>S2_ha_bois*bois_net_ha_fav</f>
        <v/>
      </c>
      <c r="F34" s="17">
        <f>S2_ha_bois*bois_net_ha</f>
        <v/>
      </c>
      <c r="G34" s="17">
        <f>S2_ha_bois*bois_net_ha_def</f>
        <v/>
      </c>
    </row>
    <row r="35">
      <c r="A35" s="2" t="inlineStr">
        <is>
          <t>hot_ca</t>
        </is>
      </c>
      <c r="B35" s="2" t="inlineStr">
        <is>
          <t>Château-hôtel (15 chambres) — CA HT</t>
        </is>
      </c>
      <c r="C35" s="2" t="inlineStr">
        <is>
          <t>HOTEL</t>
        </is>
      </c>
      <c r="D35" s="16" t="n">
        <v>0</v>
      </c>
      <c r="E35" s="17">
        <f>hot_chambres_fav*365*hot_revpar_fav*(1+hot_autres_recettes_fav)</f>
        <v/>
      </c>
      <c r="F35" s="17">
        <f>hot_chambres*365*hot_revpar*(1+hot_autres_recettes)</f>
        <v/>
      </c>
      <c r="G35" s="17">
        <f>hot_chambres_def*365*hot_revpar_def*(1+hot_autres_recettes_def)</f>
        <v/>
      </c>
    </row>
    <row r="36">
      <c r="A36" s="2" t="inlineStr">
        <is>
          <t>hot_ch</t>
        </is>
      </c>
      <c r="B36" s="2" t="inlineStr">
        <is>
          <t>Château-hôtel — charges (personnel + autres)</t>
        </is>
      </c>
      <c r="C36" s="2" t="inlineStr">
        <is>
          <t>HOTEL</t>
        </is>
      </c>
      <c r="D36" s="16" t="n">
        <v>0</v>
      </c>
      <c r="E36" s="17">
        <f>hot_chambres_fav*hot_etp_chambre_fav*hot_cout_etp_fav+E35*hot_autres_charges_fav</f>
        <v/>
      </c>
      <c r="F36" s="17">
        <f>hot_chambres*hot_etp_chambre*hot_cout_etp+F35*hot_autres_charges</f>
        <v/>
      </c>
      <c r="G36" s="17">
        <f>hot_chambres_def*hot_etp_chambre_def*hot_cout_etp_def+G35*hot_autres_charges_def</f>
        <v/>
      </c>
    </row>
    <row r="37">
      <c r="A37" s="2" t="inlineStr">
        <is>
          <t>hot_rv</t>
        </is>
      </c>
      <c r="B37" s="2" t="inlineStr">
        <is>
          <t>Château-hôtel — provision de renouvellement</t>
        </is>
      </c>
      <c r="C37" s="2" t="inlineStr">
        <is>
          <t>HOTEL</t>
        </is>
      </c>
      <c r="D37" s="16" t="n">
        <v>0</v>
      </c>
      <c r="E37" s="17">
        <f>hot_chambres_fav*hot_capex_chambre_fav*taux_renouv_capex_fav</f>
        <v/>
      </c>
      <c r="F37" s="17">
        <f>hot_chambres*hot_capex_chambre*taux_renouv_capex</f>
        <v/>
      </c>
      <c r="G37" s="17">
        <f>hot_chambres_def*hot_capex_chambre_def*taux_renouv_capex_def</f>
        <v/>
      </c>
    </row>
    <row r="38">
      <c r="A38" s="2" t="inlineStr">
        <is>
          <t>hot_cn</t>
        </is>
      </c>
      <c r="B38" s="2" t="inlineStr">
        <is>
          <t>Château-hôtel — CONTRIBUTION NETTE</t>
        </is>
      </c>
      <c r="C38" s="2" t="inlineStr">
        <is>
          <t>HOTEL</t>
        </is>
      </c>
      <c r="D38" s="16" t="n">
        <v>0</v>
      </c>
      <c r="E38" s="17">
        <f>E35-E36-E37</f>
        <v/>
      </c>
      <c r="F38" s="17">
        <f>F35-F36-F37</f>
        <v/>
      </c>
      <c r="G38" s="17">
        <f>G35-G36-G37</f>
        <v/>
      </c>
    </row>
    <row r="39">
      <c r="A39" s="2" t="inlineStr">
        <is>
          <t>hot_inv</t>
        </is>
      </c>
      <c r="B39" s="2" t="inlineStr">
        <is>
          <t>Château-hôtel — investissement initial</t>
        </is>
      </c>
      <c r="C39" s="2" t="inlineStr">
        <is>
          <t>HOTEL</t>
        </is>
      </c>
      <c r="D39" s="16" t="n">
        <v>0</v>
      </c>
      <c r="E39" s="17">
        <f>hot_chambres_fav*hot_capex_chambre_fav</f>
        <v/>
      </c>
      <c r="F39" s="17">
        <f>hot_chambres*hot_capex_chambre</f>
        <v/>
      </c>
      <c r="G39" s="17">
        <f>hot_chambres_def*hot_capex_chambre_def</f>
        <v/>
      </c>
    </row>
    <row r="40">
      <c r="A40" s="2" t="inlineStr">
        <is>
          <t>dot_cn_par_m</t>
        </is>
      </c>
      <c r="B40" s="2" t="inlineStr">
        <is>
          <t>Dotation financière — revenu net par million € de capital</t>
        </is>
      </c>
      <c r="C40" s="2" t="inlineStr">
        <is>
          <t>DOT</t>
        </is>
      </c>
      <c r="D40" s="16" t="n">
        <v>0</v>
      </c>
      <c r="E40" s="17">
        <f>1000000*dot_taux_net_fav</f>
        <v/>
      </c>
      <c r="F40" s="17">
        <f>1000000*dot_taux_net</f>
        <v/>
      </c>
      <c r="G40" s="17">
        <f>1000000*dot_taux_net_def</f>
        <v/>
      </c>
    </row>
    <row r="41">
      <c r="A41" s="2" t="inlineStr">
        <is>
          <t>ent_cn_par_m</t>
        </is>
      </c>
      <c r="B41" s="2" t="inlineStr">
        <is>
          <t>Entreprise extérieure — dividende net par million € d'EBITDA</t>
        </is>
      </c>
      <c r="C41" s="2" t="inlineStr">
        <is>
          <t>ENT</t>
        </is>
      </c>
      <c r="D41" s="16" t="n">
        <v>0</v>
      </c>
      <c r="E41" s="17">
        <f>1000000*ent_conversion_fav</f>
        <v/>
      </c>
      <c r="F41" s="17">
        <f>1000000*ent_conversion</f>
        <v/>
      </c>
      <c r="G41" s="17">
        <f>1000000*ent_conversion_def</f>
        <v/>
      </c>
    </row>
  </sheetData>
  <mergeCells count="1">
    <mergeCell ref="A2:G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8"/>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22" customWidth="1" min="1" max="1"/>
    <col width="62" customWidth="1" min="2" max="2"/>
    <col width="20" customWidth="1" min="3" max="3"/>
    <col width="10" customWidth="1" min="4" max="4"/>
    <col width="15" customWidth="1" min="5" max="5"/>
    <col width="15" customWidth="1" min="6" max="6"/>
    <col width="15" customWidth="1" min="7" max="7"/>
  </cols>
  <sheetData>
    <row r="1">
      <c r="A1" s="1" t="inlineStr">
        <is>
          <t>COMPARAISON DES MODÈLES ÉCONOMIQUES — domaine S2 (€ 2026 par an)</t>
        </is>
      </c>
    </row>
    <row r="2" ht="54" customHeight="1">
      <c r="A2" s="3" t="inlineStr">
        <is>
          <t>Chaque modèle combine des moteurs de la feuille Moteurs (matrice de configuration dans la feuille Hypotheses). Couverture = contribution disponible ÷ besoin annuel du domaine S2. L'écart restant doit être financé par un moteur extérieur : capital de dotation (au taux de retrait net soutenable) ou EBITDA d'une entreprise (dividende net par euro d'EBITDA).</t>
        </is>
      </c>
    </row>
    <row r="4">
      <c r="A4" s="4" t="inlineStr">
        <is>
          <t>Ligne</t>
        </is>
      </c>
      <c r="B4" s="4" t="inlineStr">
        <is>
          <t>Libellé</t>
        </is>
      </c>
      <c r="C4" s="4" t="inlineStr">
        <is>
          <t>Catégorie</t>
        </is>
      </c>
      <c r="D4" s="4" t="inlineStr">
        <is>
          <t>TVA contenue</t>
        </is>
      </c>
      <c r="E4" s="4" t="inlineStr">
        <is>
          <t>Favorable</t>
        </is>
      </c>
      <c r="F4" s="4" t="inlineStr">
        <is>
          <t>Central</t>
        </is>
      </c>
      <c r="G4" s="4" t="inlineStr">
        <is>
          <t>Défavorable</t>
        </is>
      </c>
    </row>
    <row r="5">
      <c r="A5" s="2" t="inlineStr">
        <is>
          <t>M1_brute</t>
        </is>
      </c>
      <c r="B5" s="2" t="inlineStr">
        <is>
          <t>M1 — contribution brute des activités sur place (avant impôt)</t>
        </is>
      </c>
      <c r="C5" s="2" t="inlineStr">
        <is>
          <t>Socle contractuel et équestre standard (résidence calme)</t>
        </is>
      </c>
      <c r="D5" s="16" t="n">
        <v>0</v>
      </c>
      <c r="E5" s="17">
        <f>cfg_M1_EQ_STD_fav*mot_eq_std_cn_fav+cfg_M1_EQ_HDG_fav*mot_eq_hdg_cn_fav+cfg_M1_EQ_PRO_fav*mot_eq_pro_cn_fav+cfg_M1_EQ_RET_fav*mot_eq_ret_cn_fav+cfg_M1_REPRO_fav*mot_repro_cn_fav+cfg_M1_EVT_fav*mot_evt_cn_fav+cfg_M1_TOURN_fav*mot_tourn_cn_fav+cfg_M1_SEMJ_fav*mot_semj_cn_fav+cfg_M1_GITE_fav*mot_gite_cn_fav+cfg_M1_LOG_fav*mot_log_cn_fav+cfg_M1_STOCK_fav*mot_stock_cn_fav+cfg_M1_AUTO_fav*mot_auto_cn_fav+cfg_M1_PV_fav*mot_pv_cn_fav+cfg_M1_BOIS_fav*mot_bois_cn_fav+cfg_M1_HOTEL_fav*mot_hot_cn_fav</f>
        <v/>
      </c>
      <c r="F5" s="17">
        <f>cfg_M1_EQ_STD*mot_eq_std_cn+cfg_M1_EQ_HDG*mot_eq_hdg_cn+cfg_M1_EQ_PRO*mot_eq_pro_cn+cfg_M1_EQ_RET*mot_eq_ret_cn+cfg_M1_REPRO*mot_repro_cn+cfg_M1_EVT*mot_evt_cn+cfg_M1_TOURN*mot_tourn_cn+cfg_M1_SEMJ*mot_semj_cn+cfg_M1_GITE*mot_gite_cn+cfg_M1_LOG*mot_log_cn+cfg_M1_STOCK*mot_stock_cn+cfg_M1_AUTO*mot_auto_cn+cfg_M1_PV*mot_pv_cn+cfg_M1_BOIS*mot_bois_cn+cfg_M1_HOTEL*mot_hot_cn</f>
        <v/>
      </c>
      <c r="G5" s="17">
        <f>cfg_M1_EQ_STD_def*mot_eq_std_cn_def+cfg_M1_EQ_HDG_def*mot_eq_hdg_cn_def+cfg_M1_EQ_PRO_def*mot_eq_pro_cn_def+cfg_M1_EQ_RET_def*mot_eq_ret_cn_def+cfg_M1_REPRO_def*mot_repro_cn_def+cfg_M1_EVT_def*mot_evt_cn_def+cfg_M1_TOURN_def*mot_tourn_cn_def+cfg_M1_SEMJ_def*mot_semj_cn_def+cfg_M1_GITE_def*mot_gite_cn_def+cfg_M1_LOG_def*mot_log_cn_def+cfg_M1_STOCK_def*mot_stock_cn_def+cfg_M1_AUTO_def*mot_auto_cn_def+cfg_M1_PV_def*mot_pv_cn_def+cfg_M1_BOIS_def*mot_bois_cn_def+cfg_M1_HOTEL_def*mot_hot_cn_def</f>
        <v/>
      </c>
    </row>
    <row r="6">
      <c r="A6" s="2" t="inlineStr">
        <is>
          <t>M1_nette</t>
        </is>
      </c>
      <c r="B6" s="2" t="inlineStr">
        <is>
          <t>M1 — contribution disponible pour le domaine (après fuite fiscale)</t>
        </is>
      </c>
      <c r="C6" s="2" t="inlineStr">
        <is>
          <t>Socle contractuel et équestre standard (résidence calme)</t>
        </is>
      </c>
      <c r="D6" s="16" t="n">
        <v>0</v>
      </c>
      <c r="E6" s="17">
        <f>IF(E5&gt;0,E5*(1-fuite_fiscale_fav),E5)</f>
        <v/>
      </c>
      <c r="F6" s="17">
        <f>IF(F5&gt;0,F5*(1-fuite_fiscale),F5)</f>
        <v/>
      </c>
      <c r="G6" s="17">
        <f>IF(G5&gt;0,G5*(1-fuite_fiscale_def),G5)</f>
        <v/>
      </c>
    </row>
    <row r="7">
      <c r="A7" s="2" t="inlineStr">
        <is>
          <t>M1_besoin</t>
        </is>
      </c>
      <c r="B7" s="2" t="inlineStr">
        <is>
          <t>M1 — besoin annuel du domaine S2 (feuille Budget)</t>
        </is>
      </c>
      <c r="C7" s="2" t="inlineStr">
        <is>
          <t>Socle contractuel et équestre standard (résidence calme)</t>
        </is>
      </c>
      <c r="D7" s="16" t="n">
        <v>0</v>
      </c>
      <c r="E7" s="17">
        <f>bud_total_besoin_S2_fav</f>
        <v/>
      </c>
      <c r="F7" s="17">
        <f>bud_total_besoin_S2</f>
        <v/>
      </c>
      <c r="G7" s="17">
        <f>bud_total_besoin_S2_def</f>
        <v/>
      </c>
    </row>
    <row r="8">
      <c r="A8" s="2" t="inlineStr">
        <is>
          <t>couv_M1</t>
        </is>
      </c>
      <c r="B8" s="2" t="inlineStr">
        <is>
          <t>M1 — couverture du besoin par les activités sur place</t>
        </is>
      </c>
      <c r="C8" s="2" t="inlineStr">
        <is>
          <t>Socle contractuel et équestre standard (résidence calme)</t>
        </is>
      </c>
      <c r="D8" s="16" t="n">
        <v>0</v>
      </c>
      <c r="E8" s="20">
        <f>E6/E7</f>
        <v/>
      </c>
      <c r="F8" s="20">
        <f>F6/F7</f>
        <v/>
      </c>
      <c r="G8" s="20">
        <f>G6/G7</f>
        <v/>
      </c>
    </row>
    <row r="9">
      <c r="A9" s="2" t="inlineStr">
        <is>
          <t>M1_ecart</t>
        </is>
      </c>
      <c r="B9" s="2" t="inlineStr">
        <is>
          <t>M1 — écart restant à financer</t>
        </is>
      </c>
      <c r="C9" s="2" t="inlineStr">
        <is>
          <t>Socle contractuel et équestre standard (résidence calme)</t>
        </is>
      </c>
      <c r="D9" s="16" t="n">
        <v>0</v>
      </c>
      <c r="E9" s="17">
        <f>MAX(0,E7-E6)</f>
        <v/>
      </c>
      <c r="F9" s="17">
        <f>MAX(0,F7-F6)</f>
        <v/>
      </c>
      <c r="G9" s="17">
        <f>MAX(0,G7-G6)</f>
        <v/>
      </c>
    </row>
    <row r="10">
      <c r="A10" s="2" t="inlineStr">
        <is>
          <t>M1_dotation</t>
        </is>
      </c>
      <c r="B10" s="2" t="inlineStr">
        <is>
          <t>M1 — capital de dotation nécessaire pour combler l'écart</t>
        </is>
      </c>
      <c r="C10" s="2" t="inlineStr">
        <is>
          <t>Socle contractuel et équestre standard (résidence calme)</t>
        </is>
      </c>
      <c r="D10" s="16" t="n">
        <v>0</v>
      </c>
      <c r="E10" s="17">
        <f>E9/dot_taux_net_fav</f>
        <v/>
      </c>
      <c r="F10" s="17">
        <f>F9/dot_taux_net</f>
        <v/>
      </c>
      <c r="G10" s="17">
        <f>G9/dot_taux_net_def</f>
        <v/>
      </c>
    </row>
    <row r="11">
      <c r="A11" s="2" t="inlineStr">
        <is>
          <t>M1_ebitda</t>
        </is>
      </c>
      <c r="B11" s="2" t="inlineStr">
        <is>
          <t>M1 — ou EBITDA d'entreprise extérieure nécessaire</t>
        </is>
      </c>
      <c r="C11" s="2" t="inlineStr">
        <is>
          <t>Socle contractuel et équestre standard (résidence calme)</t>
        </is>
      </c>
      <c r="D11" s="16" t="n">
        <v>0</v>
      </c>
      <c r="E11" s="17">
        <f>E9/ent_conversion_fav</f>
        <v/>
      </c>
      <c r="F11" s="17">
        <f>F9/ent_conversion</f>
        <v/>
      </c>
      <c r="G11" s="17">
        <f>G9/ent_conversion_def</f>
        <v/>
      </c>
    </row>
    <row r="12">
      <c r="A12" s="2" t="inlineStr">
        <is>
          <t>M1_invest</t>
        </is>
      </c>
      <c r="B12" s="2" t="inlineStr">
        <is>
          <t>M1 — investissement initial des activités</t>
        </is>
      </c>
      <c r="C12" s="2" t="inlineStr">
        <is>
          <t>Socle contractuel et équestre standard (résidence calme)</t>
        </is>
      </c>
      <c r="D12" s="16" t="n">
        <v>0</v>
      </c>
      <c r="E12" s="17">
        <f>cfg_M1_EVT_fav*mot_evt_inv_fav+cfg_M1_GITE_fav*mot_gite_inv_fav+cfg_M1_LOG_fav*mot_log_inv_fav+cfg_M1_STOCK_fav*stock_capex_fav+cfg_M1_AUTO_fav*auto_capex_fav+cfg_M1_HOTEL_fav*mot_hot_inv_fav</f>
        <v/>
      </c>
      <c r="F12" s="17">
        <f>cfg_M1_EVT*mot_evt_inv+cfg_M1_GITE*mot_gite_inv+cfg_M1_LOG*mot_log_inv+cfg_M1_STOCK*stock_capex+cfg_M1_AUTO*auto_capex+cfg_M1_HOTEL*mot_hot_inv</f>
        <v/>
      </c>
      <c r="G12" s="17">
        <f>cfg_M1_EVT_def*mot_evt_inv_def+cfg_M1_GITE_def*mot_gite_inv_def+cfg_M1_LOG_def*mot_log_inv_def+cfg_M1_STOCK_def*stock_capex_def+cfg_M1_AUTO_def*auto_capex_def+cfg_M1_HOTEL_def*mot_hot_inv_def</f>
        <v/>
      </c>
    </row>
    <row r="13">
      <c r="A13" s="2" t="inlineStr">
        <is>
          <t>part_M1_recurrent</t>
        </is>
      </c>
      <c r="B13" s="2" t="inlineStr">
        <is>
          <t>M1 — part des contributions récurrentes (classes A et B)</t>
        </is>
      </c>
      <c r="C13" s="2" t="inlineStr">
        <is>
          <t>Socle contractuel et équestre standard (résidence calme)</t>
        </is>
      </c>
      <c r="D13" s="16" t="n">
        <v>0</v>
      </c>
      <c r="E13" s="20">
        <f>IF(E5&gt;0,(cfg_M1_EQ_STD_fav*mot_eq_std_cn_fav+cfg_M1_EQ_HDG_fav*mot_eq_hdg_cn_fav+cfg_M1_EQ_PRO_fav*mot_eq_pro_cn_fav+cfg_M1_EQ_RET_fav*mot_eq_ret_cn_fav+cfg_M1_REPRO_fav*mot_repro_cn_fav+cfg_M1_LOG_fav*mot_log_cn_fav+cfg_M1_STOCK_fav*mot_stock_cn_fav+cfg_M1_AUTO_fav*mot_auto_cn_fav+cfg_M1_PV_fav*mot_pv_cn_fav+cfg_M1_BOIS_fav*mot_bois_cn_fav+cfg_M1_HOTEL_fav*mot_hot_cn_fav)/E5,0)</f>
        <v/>
      </c>
      <c r="F13" s="20">
        <f>IF(F5&gt;0,(cfg_M1_EQ_STD*mot_eq_std_cn+cfg_M1_EQ_HDG*mot_eq_hdg_cn+cfg_M1_EQ_PRO*mot_eq_pro_cn+cfg_M1_EQ_RET*mot_eq_ret_cn+cfg_M1_REPRO*mot_repro_cn+cfg_M1_LOG*mot_log_cn+cfg_M1_STOCK*mot_stock_cn+cfg_M1_AUTO*mot_auto_cn+cfg_M1_PV*mot_pv_cn+cfg_M1_BOIS*mot_bois_cn+cfg_M1_HOTEL*mot_hot_cn)/F5,0)</f>
        <v/>
      </c>
      <c r="G13" s="20">
        <f>IF(G5&gt;0,(cfg_M1_EQ_STD_def*mot_eq_std_cn_def+cfg_M1_EQ_HDG_def*mot_eq_hdg_cn_def+cfg_M1_EQ_PRO_def*mot_eq_pro_cn_def+cfg_M1_EQ_RET_def*mot_eq_ret_cn_def+cfg_M1_REPRO_def*mot_repro_cn_def+cfg_M1_LOG_def*mot_log_cn_def+cfg_M1_STOCK_def*mot_stock_cn_def+cfg_M1_AUTO_def*mot_auto_cn_def+cfg_M1_PV_def*mot_pv_cn_def+cfg_M1_BOIS_def*mot_bois_cn_def+cfg_M1_HOTEL_def*mot_hot_cn_def)/G5,0)</f>
        <v/>
      </c>
    </row>
    <row r="14">
      <c r="A14" s="2" t="inlineStr">
        <is>
          <t>M2_brute</t>
        </is>
      </c>
      <c r="B14" s="2" t="inlineStr">
        <is>
          <t>M2 — contribution brute des activités sur place (avant impôt)</t>
        </is>
      </c>
      <c r="C14" s="2" t="inlineStr">
        <is>
          <t>Lieu d'exception à quota (M1 + réceptions, séminaires, grande maison)</t>
        </is>
      </c>
      <c r="D14" s="16" t="n">
        <v>0</v>
      </c>
      <c r="E14" s="17">
        <f>cfg_M2_EQ_STD_fav*mot_eq_std_cn_fav+cfg_M2_EQ_HDG_fav*mot_eq_hdg_cn_fav+cfg_M2_EQ_PRO_fav*mot_eq_pro_cn_fav+cfg_M2_EQ_RET_fav*mot_eq_ret_cn_fav+cfg_M2_REPRO_fav*mot_repro_cn_fav+cfg_M2_EVT_fav*mot_evt_cn_fav+cfg_M2_TOURN_fav*mot_tourn_cn_fav+cfg_M2_SEMJ_fav*mot_semj_cn_fav+cfg_M2_GITE_fav*mot_gite_cn_fav+cfg_M2_LOG_fav*mot_log_cn_fav+cfg_M2_STOCK_fav*mot_stock_cn_fav+cfg_M2_AUTO_fav*mot_auto_cn_fav+cfg_M2_PV_fav*mot_pv_cn_fav+cfg_M2_BOIS_fav*mot_bois_cn_fav+cfg_M2_HOTEL_fav*mot_hot_cn_fav</f>
        <v/>
      </c>
      <c r="F14" s="17">
        <f>cfg_M2_EQ_STD*mot_eq_std_cn+cfg_M2_EQ_HDG*mot_eq_hdg_cn+cfg_M2_EQ_PRO*mot_eq_pro_cn+cfg_M2_EQ_RET*mot_eq_ret_cn+cfg_M2_REPRO*mot_repro_cn+cfg_M2_EVT*mot_evt_cn+cfg_M2_TOURN*mot_tourn_cn+cfg_M2_SEMJ*mot_semj_cn+cfg_M2_GITE*mot_gite_cn+cfg_M2_LOG*mot_log_cn+cfg_M2_STOCK*mot_stock_cn+cfg_M2_AUTO*mot_auto_cn+cfg_M2_PV*mot_pv_cn+cfg_M2_BOIS*mot_bois_cn+cfg_M2_HOTEL*mot_hot_cn</f>
        <v/>
      </c>
      <c r="G14" s="17">
        <f>cfg_M2_EQ_STD_def*mot_eq_std_cn_def+cfg_M2_EQ_HDG_def*mot_eq_hdg_cn_def+cfg_M2_EQ_PRO_def*mot_eq_pro_cn_def+cfg_M2_EQ_RET_def*mot_eq_ret_cn_def+cfg_M2_REPRO_def*mot_repro_cn_def+cfg_M2_EVT_def*mot_evt_cn_def+cfg_M2_TOURN_def*mot_tourn_cn_def+cfg_M2_SEMJ_def*mot_semj_cn_def+cfg_M2_GITE_def*mot_gite_cn_def+cfg_M2_LOG_def*mot_log_cn_def+cfg_M2_STOCK_def*mot_stock_cn_def+cfg_M2_AUTO_def*mot_auto_cn_def+cfg_M2_PV_def*mot_pv_cn_def+cfg_M2_BOIS_def*mot_bois_cn_def+cfg_M2_HOTEL_def*mot_hot_cn_def</f>
        <v/>
      </c>
    </row>
    <row r="15">
      <c r="A15" s="2" t="inlineStr">
        <is>
          <t>M2_nette</t>
        </is>
      </c>
      <c r="B15" s="2" t="inlineStr">
        <is>
          <t>M2 — contribution disponible pour le domaine (après fuite fiscale)</t>
        </is>
      </c>
      <c r="C15" s="2" t="inlineStr">
        <is>
          <t>Lieu d'exception à quota (M1 + réceptions, séminaires, grande maison)</t>
        </is>
      </c>
      <c r="D15" s="16" t="n">
        <v>0</v>
      </c>
      <c r="E15" s="17">
        <f>IF(E14&gt;0,E14*(1-fuite_fiscale_fav),E14)</f>
        <v/>
      </c>
      <c r="F15" s="17">
        <f>IF(F14&gt;0,F14*(1-fuite_fiscale),F14)</f>
        <v/>
      </c>
      <c r="G15" s="17">
        <f>IF(G14&gt;0,G14*(1-fuite_fiscale_def),G14)</f>
        <v/>
      </c>
    </row>
    <row r="16">
      <c r="A16" s="2" t="inlineStr">
        <is>
          <t>M2_besoin</t>
        </is>
      </c>
      <c r="B16" s="2" t="inlineStr">
        <is>
          <t>M2 — besoin annuel du domaine S2 (feuille Budget)</t>
        </is>
      </c>
      <c r="C16" s="2" t="inlineStr">
        <is>
          <t>Lieu d'exception à quota (M1 + réceptions, séminaires, grande maison)</t>
        </is>
      </c>
      <c r="D16" s="16" t="n">
        <v>0</v>
      </c>
      <c r="E16" s="17">
        <f>bud_total_besoin_S2_fav</f>
        <v/>
      </c>
      <c r="F16" s="17">
        <f>bud_total_besoin_S2</f>
        <v/>
      </c>
      <c r="G16" s="17">
        <f>bud_total_besoin_S2_def</f>
        <v/>
      </c>
    </row>
    <row r="17">
      <c r="A17" s="2" t="inlineStr">
        <is>
          <t>couv_M2</t>
        </is>
      </c>
      <c r="B17" s="2" t="inlineStr">
        <is>
          <t>M2 — couverture du besoin par les activités sur place</t>
        </is>
      </c>
      <c r="C17" s="2" t="inlineStr">
        <is>
          <t>Lieu d'exception à quota (M1 + réceptions, séminaires, grande maison)</t>
        </is>
      </c>
      <c r="D17" s="16" t="n">
        <v>0</v>
      </c>
      <c r="E17" s="20">
        <f>E15/E16</f>
        <v/>
      </c>
      <c r="F17" s="20">
        <f>F15/F16</f>
        <v/>
      </c>
      <c r="G17" s="20">
        <f>G15/G16</f>
        <v/>
      </c>
    </row>
    <row r="18">
      <c r="A18" s="2" t="inlineStr">
        <is>
          <t>M2_ecart</t>
        </is>
      </c>
      <c r="B18" s="2" t="inlineStr">
        <is>
          <t>M2 — écart restant à financer</t>
        </is>
      </c>
      <c r="C18" s="2" t="inlineStr">
        <is>
          <t>Lieu d'exception à quota (M1 + réceptions, séminaires, grande maison)</t>
        </is>
      </c>
      <c r="D18" s="16" t="n">
        <v>0</v>
      </c>
      <c r="E18" s="17">
        <f>MAX(0,E16-E15)</f>
        <v/>
      </c>
      <c r="F18" s="17">
        <f>MAX(0,F16-F15)</f>
        <v/>
      </c>
      <c r="G18" s="17">
        <f>MAX(0,G16-G15)</f>
        <v/>
      </c>
    </row>
    <row r="19">
      <c r="A19" s="2" t="inlineStr">
        <is>
          <t>M2_dotation</t>
        </is>
      </c>
      <c r="B19" s="2" t="inlineStr">
        <is>
          <t>M2 — capital de dotation nécessaire pour combler l'écart</t>
        </is>
      </c>
      <c r="C19" s="2" t="inlineStr">
        <is>
          <t>Lieu d'exception à quota (M1 + réceptions, séminaires, grande maison)</t>
        </is>
      </c>
      <c r="D19" s="16" t="n">
        <v>0</v>
      </c>
      <c r="E19" s="17">
        <f>E18/dot_taux_net_fav</f>
        <v/>
      </c>
      <c r="F19" s="17">
        <f>F18/dot_taux_net</f>
        <v/>
      </c>
      <c r="G19" s="17">
        <f>G18/dot_taux_net_def</f>
        <v/>
      </c>
    </row>
    <row r="20">
      <c r="A20" s="2" t="inlineStr">
        <is>
          <t>M2_ebitda</t>
        </is>
      </c>
      <c r="B20" s="2" t="inlineStr">
        <is>
          <t>M2 — ou EBITDA d'entreprise extérieure nécessaire</t>
        </is>
      </c>
      <c r="C20" s="2" t="inlineStr">
        <is>
          <t>Lieu d'exception à quota (M1 + réceptions, séminaires, grande maison)</t>
        </is>
      </c>
      <c r="D20" s="16" t="n">
        <v>0</v>
      </c>
      <c r="E20" s="17">
        <f>E18/ent_conversion_fav</f>
        <v/>
      </c>
      <c r="F20" s="17">
        <f>F18/ent_conversion</f>
        <v/>
      </c>
      <c r="G20" s="17">
        <f>G18/ent_conversion_def</f>
        <v/>
      </c>
    </row>
    <row r="21">
      <c r="A21" s="2" t="inlineStr">
        <is>
          <t>M2_invest</t>
        </is>
      </c>
      <c r="B21" s="2" t="inlineStr">
        <is>
          <t>M2 — investissement initial des activités</t>
        </is>
      </c>
      <c r="C21" s="2" t="inlineStr">
        <is>
          <t>Lieu d'exception à quota (M1 + réceptions, séminaires, grande maison)</t>
        </is>
      </c>
      <c r="D21" s="16" t="n">
        <v>0</v>
      </c>
      <c r="E21" s="17">
        <f>cfg_M2_EVT_fav*mot_evt_inv_fav+cfg_M2_GITE_fav*mot_gite_inv_fav+cfg_M2_LOG_fav*mot_log_inv_fav+cfg_M2_STOCK_fav*stock_capex_fav+cfg_M2_AUTO_fav*auto_capex_fav+cfg_M2_HOTEL_fav*mot_hot_inv_fav</f>
        <v/>
      </c>
      <c r="F21" s="17">
        <f>cfg_M2_EVT*mot_evt_inv+cfg_M2_GITE*mot_gite_inv+cfg_M2_LOG*mot_log_inv+cfg_M2_STOCK*stock_capex+cfg_M2_AUTO*auto_capex+cfg_M2_HOTEL*mot_hot_inv</f>
        <v/>
      </c>
      <c r="G21" s="17">
        <f>cfg_M2_EVT_def*mot_evt_inv_def+cfg_M2_GITE_def*mot_gite_inv_def+cfg_M2_LOG_def*mot_log_inv_def+cfg_M2_STOCK_def*stock_capex_def+cfg_M2_AUTO_def*auto_capex_def+cfg_M2_HOTEL_def*mot_hot_inv_def</f>
        <v/>
      </c>
    </row>
    <row r="22">
      <c r="A22" s="2" t="inlineStr">
        <is>
          <t>part_M2_recurrent</t>
        </is>
      </c>
      <c r="B22" s="2" t="inlineStr">
        <is>
          <t>M2 — part des contributions récurrentes (classes A et B)</t>
        </is>
      </c>
      <c r="C22" s="2" t="inlineStr">
        <is>
          <t>Lieu d'exception à quota (M1 + réceptions, séminaires, grande maison)</t>
        </is>
      </c>
      <c r="D22" s="16" t="n">
        <v>0</v>
      </c>
      <c r="E22" s="20">
        <f>IF(E14&gt;0,(cfg_M2_EQ_STD_fav*mot_eq_std_cn_fav+cfg_M2_EQ_HDG_fav*mot_eq_hdg_cn_fav+cfg_M2_EQ_PRO_fav*mot_eq_pro_cn_fav+cfg_M2_EQ_RET_fav*mot_eq_ret_cn_fav+cfg_M2_REPRO_fav*mot_repro_cn_fav+cfg_M2_LOG_fav*mot_log_cn_fav+cfg_M2_STOCK_fav*mot_stock_cn_fav+cfg_M2_AUTO_fav*mot_auto_cn_fav+cfg_M2_PV_fav*mot_pv_cn_fav+cfg_M2_BOIS_fav*mot_bois_cn_fav+cfg_M2_HOTEL_fav*mot_hot_cn_fav)/E14,0)</f>
        <v/>
      </c>
      <c r="F22" s="20">
        <f>IF(F14&gt;0,(cfg_M2_EQ_STD*mot_eq_std_cn+cfg_M2_EQ_HDG*mot_eq_hdg_cn+cfg_M2_EQ_PRO*mot_eq_pro_cn+cfg_M2_EQ_RET*mot_eq_ret_cn+cfg_M2_REPRO*mot_repro_cn+cfg_M2_LOG*mot_log_cn+cfg_M2_STOCK*mot_stock_cn+cfg_M2_AUTO*mot_auto_cn+cfg_M2_PV*mot_pv_cn+cfg_M2_BOIS*mot_bois_cn+cfg_M2_HOTEL*mot_hot_cn)/F14,0)</f>
        <v/>
      </c>
      <c r="G22" s="20">
        <f>IF(G14&gt;0,(cfg_M2_EQ_STD_def*mot_eq_std_cn_def+cfg_M2_EQ_HDG_def*mot_eq_hdg_cn_def+cfg_M2_EQ_PRO_def*mot_eq_pro_cn_def+cfg_M2_EQ_RET_def*mot_eq_ret_cn_def+cfg_M2_REPRO_def*mot_repro_cn_def+cfg_M2_LOG_def*mot_log_cn_def+cfg_M2_STOCK_def*mot_stock_cn_def+cfg_M2_AUTO_def*mot_auto_cn_def+cfg_M2_PV_def*mot_pv_cn_def+cfg_M2_BOIS_def*mot_bois_cn_def+cfg_M2_HOTEL_def*mot_hot_cn_def)/G14,0)</f>
        <v/>
      </c>
    </row>
    <row r="23">
      <c r="A23" s="2" t="inlineStr">
        <is>
          <t>M3_brute</t>
        </is>
      </c>
      <c r="B23" s="2" t="inlineStr">
        <is>
          <t>M3 — contribution brute des activités sur place (avant impôt)</t>
        </is>
      </c>
      <c r="C23" s="2" t="inlineStr">
        <is>
          <t>Équestre haut de gamme et services (pension, retraite, reproduction)</t>
        </is>
      </c>
      <c r="D23" s="16" t="n">
        <v>0</v>
      </c>
      <c r="E23" s="17">
        <f>cfg_M3_EQ_STD_fav*mot_eq_std_cn_fav+cfg_M3_EQ_HDG_fav*mot_eq_hdg_cn_fav+cfg_M3_EQ_PRO_fav*mot_eq_pro_cn_fav+cfg_M3_EQ_RET_fav*mot_eq_ret_cn_fav+cfg_M3_REPRO_fav*mot_repro_cn_fav+cfg_M3_EVT_fav*mot_evt_cn_fav+cfg_M3_TOURN_fav*mot_tourn_cn_fav+cfg_M3_SEMJ_fav*mot_semj_cn_fav+cfg_M3_GITE_fav*mot_gite_cn_fav+cfg_M3_LOG_fav*mot_log_cn_fav+cfg_M3_STOCK_fav*mot_stock_cn_fav+cfg_M3_AUTO_fav*mot_auto_cn_fav+cfg_M3_PV_fav*mot_pv_cn_fav+cfg_M3_BOIS_fav*mot_bois_cn_fav+cfg_M3_HOTEL_fav*mot_hot_cn_fav</f>
        <v/>
      </c>
      <c r="F23" s="17">
        <f>cfg_M3_EQ_STD*mot_eq_std_cn+cfg_M3_EQ_HDG*mot_eq_hdg_cn+cfg_M3_EQ_PRO*mot_eq_pro_cn+cfg_M3_EQ_RET*mot_eq_ret_cn+cfg_M3_REPRO*mot_repro_cn+cfg_M3_EVT*mot_evt_cn+cfg_M3_TOURN*mot_tourn_cn+cfg_M3_SEMJ*mot_semj_cn+cfg_M3_GITE*mot_gite_cn+cfg_M3_LOG*mot_log_cn+cfg_M3_STOCK*mot_stock_cn+cfg_M3_AUTO*mot_auto_cn+cfg_M3_PV*mot_pv_cn+cfg_M3_BOIS*mot_bois_cn+cfg_M3_HOTEL*mot_hot_cn</f>
        <v/>
      </c>
      <c r="G23" s="17">
        <f>cfg_M3_EQ_STD_def*mot_eq_std_cn_def+cfg_M3_EQ_HDG_def*mot_eq_hdg_cn_def+cfg_M3_EQ_PRO_def*mot_eq_pro_cn_def+cfg_M3_EQ_RET_def*mot_eq_ret_cn_def+cfg_M3_REPRO_def*mot_repro_cn_def+cfg_M3_EVT_def*mot_evt_cn_def+cfg_M3_TOURN_def*mot_tourn_cn_def+cfg_M3_SEMJ_def*mot_semj_cn_def+cfg_M3_GITE_def*mot_gite_cn_def+cfg_M3_LOG_def*mot_log_cn_def+cfg_M3_STOCK_def*mot_stock_cn_def+cfg_M3_AUTO_def*mot_auto_cn_def+cfg_M3_PV_def*mot_pv_cn_def+cfg_M3_BOIS_def*mot_bois_cn_def+cfg_M3_HOTEL_def*mot_hot_cn_def</f>
        <v/>
      </c>
    </row>
    <row r="24">
      <c r="A24" s="2" t="inlineStr">
        <is>
          <t>M3_nette</t>
        </is>
      </c>
      <c r="B24" s="2" t="inlineStr">
        <is>
          <t>M3 — contribution disponible pour le domaine (après fuite fiscale)</t>
        </is>
      </c>
      <c r="C24" s="2" t="inlineStr">
        <is>
          <t>Équestre haut de gamme et services (pension, retraite, reproduction)</t>
        </is>
      </c>
      <c r="D24" s="16" t="n">
        <v>0</v>
      </c>
      <c r="E24" s="17">
        <f>IF(E23&gt;0,E23*(1-fuite_fiscale_fav),E23)</f>
        <v/>
      </c>
      <c r="F24" s="17">
        <f>IF(F23&gt;0,F23*(1-fuite_fiscale),F23)</f>
        <v/>
      </c>
      <c r="G24" s="17">
        <f>IF(G23&gt;0,G23*(1-fuite_fiscale_def),G23)</f>
        <v/>
      </c>
    </row>
    <row r="25">
      <c r="A25" s="2" t="inlineStr">
        <is>
          <t>M3_besoin</t>
        </is>
      </c>
      <c r="B25" s="2" t="inlineStr">
        <is>
          <t>M3 — besoin annuel du domaine S2 (feuille Budget)</t>
        </is>
      </c>
      <c r="C25" s="2" t="inlineStr">
        <is>
          <t>Équestre haut de gamme et services (pension, retraite, reproduction)</t>
        </is>
      </c>
      <c r="D25" s="16" t="n">
        <v>0</v>
      </c>
      <c r="E25" s="17">
        <f>bud_total_besoin_S2_fav</f>
        <v/>
      </c>
      <c r="F25" s="17">
        <f>bud_total_besoin_S2</f>
        <v/>
      </c>
      <c r="G25" s="17">
        <f>bud_total_besoin_S2_def</f>
        <v/>
      </c>
    </row>
    <row r="26">
      <c r="A26" s="2" t="inlineStr">
        <is>
          <t>couv_M3</t>
        </is>
      </c>
      <c r="B26" s="2" t="inlineStr">
        <is>
          <t>M3 — couverture du besoin par les activités sur place</t>
        </is>
      </c>
      <c r="C26" s="2" t="inlineStr">
        <is>
          <t>Équestre haut de gamme et services (pension, retraite, reproduction)</t>
        </is>
      </c>
      <c r="D26" s="16" t="n">
        <v>0</v>
      </c>
      <c r="E26" s="20">
        <f>E24/E25</f>
        <v/>
      </c>
      <c r="F26" s="20">
        <f>F24/F25</f>
        <v/>
      </c>
      <c r="G26" s="20">
        <f>G24/G25</f>
        <v/>
      </c>
    </row>
    <row r="27">
      <c r="A27" s="2" t="inlineStr">
        <is>
          <t>M3_ecart</t>
        </is>
      </c>
      <c r="B27" s="2" t="inlineStr">
        <is>
          <t>M3 — écart restant à financer</t>
        </is>
      </c>
      <c r="C27" s="2" t="inlineStr">
        <is>
          <t>Équestre haut de gamme et services (pension, retraite, reproduction)</t>
        </is>
      </c>
      <c r="D27" s="16" t="n">
        <v>0</v>
      </c>
      <c r="E27" s="17">
        <f>MAX(0,E25-E24)</f>
        <v/>
      </c>
      <c r="F27" s="17">
        <f>MAX(0,F25-F24)</f>
        <v/>
      </c>
      <c r="G27" s="17">
        <f>MAX(0,G25-G24)</f>
        <v/>
      </c>
    </row>
    <row r="28">
      <c r="A28" s="2" t="inlineStr">
        <is>
          <t>M3_dotation</t>
        </is>
      </c>
      <c r="B28" s="2" t="inlineStr">
        <is>
          <t>M3 — capital de dotation nécessaire pour combler l'écart</t>
        </is>
      </c>
      <c r="C28" s="2" t="inlineStr">
        <is>
          <t>Équestre haut de gamme et services (pension, retraite, reproduction)</t>
        </is>
      </c>
      <c r="D28" s="16" t="n">
        <v>0</v>
      </c>
      <c r="E28" s="17">
        <f>E27/dot_taux_net_fav</f>
        <v/>
      </c>
      <c r="F28" s="17">
        <f>F27/dot_taux_net</f>
        <v/>
      </c>
      <c r="G28" s="17">
        <f>G27/dot_taux_net_def</f>
        <v/>
      </c>
    </row>
    <row r="29">
      <c r="A29" s="2" t="inlineStr">
        <is>
          <t>M3_ebitda</t>
        </is>
      </c>
      <c r="B29" s="2" t="inlineStr">
        <is>
          <t>M3 — ou EBITDA d'entreprise extérieure nécessaire</t>
        </is>
      </c>
      <c r="C29" s="2" t="inlineStr">
        <is>
          <t>Équestre haut de gamme et services (pension, retraite, reproduction)</t>
        </is>
      </c>
      <c r="D29" s="16" t="n">
        <v>0</v>
      </c>
      <c r="E29" s="17">
        <f>E27/ent_conversion_fav</f>
        <v/>
      </c>
      <c r="F29" s="17">
        <f>F27/ent_conversion</f>
        <v/>
      </c>
      <c r="G29" s="17">
        <f>G27/ent_conversion_def</f>
        <v/>
      </c>
    </row>
    <row r="30">
      <c r="A30" s="2" t="inlineStr">
        <is>
          <t>M3_invest</t>
        </is>
      </c>
      <c r="B30" s="2" t="inlineStr">
        <is>
          <t>M3 — investissement initial des activités</t>
        </is>
      </c>
      <c r="C30" s="2" t="inlineStr">
        <is>
          <t>Équestre haut de gamme et services (pension, retraite, reproduction)</t>
        </is>
      </c>
      <c r="D30" s="16" t="n">
        <v>0</v>
      </c>
      <c r="E30" s="17">
        <f>cfg_M3_EVT_fav*mot_evt_inv_fav+cfg_M3_GITE_fav*mot_gite_inv_fav+cfg_M3_LOG_fav*mot_log_inv_fav+cfg_M3_STOCK_fav*stock_capex_fav+cfg_M3_AUTO_fav*auto_capex_fav+cfg_M3_HOTEL_fav*mot_hot_inv_fav</f>
        <v/>
      </c>
      <c r="F30" s="17">
        <f>cfg_M3_EVT*mot_evt_inv+cfg_M3_GITE*mot_gite_inv+cfg_M3_LOG*mot_log_inv+cfg_M3_STOCK*stock_capex+cfg_M3_AUTO*auto_capex+cfg_M3_HOTEL*mot_hot_inv</f>
        <v/>
      </c>
      <c r="G30" s="17">
        <f>cfg_M3_EVT_def*mot_evt_inv_def+cfg_M3_GITE_def*mot_gite_inv_def+cfg_M3_LOG_def*mot_log_inv_def+cfg_M3_STOCK_def*stock_capex_def+cfg_M3_AUTO_def*auto_capex_def+cfg_M3_HOTEL_def*mot_hot_inv_def</f>
        <v/>
      </c>
    </row>
    <row r="31">
      <c r="A31" s="2" t="inlineStr">
        <is>
          <t>part_M3_recurrent</t>
        </is>
      </c>
      <c r="B31" s="2" t="inlineStr">
        <is>
          <t>M3 — part des contributions récurrentes (classes A et B)</t>
        </is>
      </c>
      <c r="C31" s="2" t="inlineStr">
        <is>
          <t>Équestre haut de gamme et services (pension, retraite, reproduction)</t>
        </is>
      </c>
      <c r="D31" s="16" t="n">
        <v>0</v>
      </c>
      <c r="E31" s="20">
        <f>IF(E23&gt;0,(cfg_M3_EQ_STD_fav*mot_eq_std_cn_fav+cfg_M3_EQ_HDG_fav*mot_eq_hdg_cn_fav+cfg_M3_EQ_PRO_fav*mot_eq_pro_cn_fav+cfg_M3_EQ_RET_fav*mot_eq_ret_cn_fav+cfg_M3_REPRO_fav*mot_repro_cn_fav+cfg_M3_LOG_fav*mot_log_cn_fav+cfg_M3_STOCK_fav*mot_stock_cn_fav+cfg_M3_AUTO_fav*mot_auto_cn_fav+cfg_M3_PV_fav*mot_pv_cn_fav+cfg_M3_BOIS_fav*mot_bois_cn_fav+cfg_M3_HOTEL_fav*mot_hot_cn_fav)/E23,0)</f>
        <v/>
      </c>
      <c r="F31" s="20">
        <f>IF(F23&gt;0,(cfg_M3_EQ_STD*mot_eq_std_cn+cfg_M3_EQ_HDG*mot_eq_hdg_cn+cfg_M3_EQ_PRO*mot_eq_pro_cn+cfg_M3_EQ_RET*mot_eq_ret_cn+cfg_M3_REPRO*mot_repro_cn+cfg_M3_LOG*mot_log_cn+cfg_M3_STOCK*mot_stock_cn+cfg_M3_AUTO*mot_auto_cn+cfg_M3_PV*mot_pv_cn+cfg_M3_BOIS*mot_bois_cn+cfg_M3_HOTEL*mot_hot_cn)/F23,0)</f>
        <v/>
      </c>
      <c r="G31" s="20">
        <f>IF(G23&gt;0,(cfg_M3_EQ_STD_def*mot_eq_std_cn_def+cfg_M3_EQ_HDG_def*mot_eq_hdg_cn_def+cfg_M3_EQ_PRO_def*mot_eq_pro_cn_def+cfg_M3_EQ_RET_def*mot_eq_ret_cn_def+cfg_M3_REPRO_def*mot_repro_cn_def+cfg_M3_LOG_def*mot_log_cn_def+cfg_M3_STOCK_def*mot_stock_cn_def+cfg_M3_AUTO_def*mot_auto_cn_def+cfg_M3_PV_def*mot_pv_cn_def+cfg_M3_BOIS_def*mot_bois_cn_def+cfg_M3_HOTEL_def*mot_hot_cn_def)/G23,0)</f>
        <v/>
      </c>
    </row>
    <row r="32">
      <c r="A32" s="2" t="inlineStr">
        <is>
          <t>M4_brute</t>
        </is>
      </c>
      <c r="B32" s="2" t="inlineStr">
        <is>
          <t>M4 — contribution brute des activités sur place (avant impôt)</t>
        </is>
      </c>
      <c r="C32" s="2" t="inlineStr">
        <is>
          <t>Château-hôtel opéré (15 chambres) + réceptions et séminaires</t>
        </is>
      </c>
      <c r="D32" s="16" t="n">
        <v>0</v>
      </c>
      <c r="E32" s="17">
        <f>cfg_M4_EQ_STD_fav*mot_eq_std_cn_fav+cfg_M4_EQ_HDG_fav*mot_eq_hdg_cn_fav+cfg_M4_EQ_PRO_fav*mot_eq_pro_cn_fav+cfg_M4_EQ_RET_fav*mot_eq_ret_cn_fav+cfg_M4_REPRO_fav*mot_repro_cn_fav+cfg_M4_EVT_fav*mot_evt_cn_fav+cfg_M4_TOURN_fav*mot_tourn_cn_fav+cfg_M4_SEMJ_fav*mot_semj_cn_fav+cfg_M4_GITE_fav*mot_gite_cn_fav+cfg_M4_LOG_fav*mot_log_cn_fav+cfg_M4_STOCK_fav*mot_stock_cn_fav+cfg_M4_AUTO_fav*mot_auto_cn_fav+cfg_M4_PV_fav*mot_pv_cn_fav+cfg_M4_BOIS_fav*mot_bois_cn_fav+cfg_M4_HOTEL_fav*mot_hot_cn_fav</f>
        <v/>
      </c>
      <c r="F32" s="17">
        <f>cfg_M4_EQ_STD*mot_eq_std_cn+cfg_M4_EQ_HDG*mot_eq_hdg_cn+cfg_M4_EQ_PRO*mot_eq_pro_cn+cfg_M4_EQ_RET*mot_eq_ret_cn+cfg_M4_REPRO*mot_repro_cn+cfg_M4_EVT*mot_evt_cn+cfg_M4_TOURN*mot_tourn_cn+cfg_M4_SEMJ*mot_semj_cn+cfg_M4_GITE*mot_gite_cn+cfg_M4_LOG*mot_log_cn+cfg_M4_STOCK*mot_stock_cn+cfg_M4_AUTO*mot_auto_cn+cfg_M4_PV*mot_pv_cn+cfg_M4_BOIS*mot_bois_cn+cfg_M4_HOTEL*mot_hot_cn</f>
        <v/>
      </c>
      <c r="G32" s="17">
        <f>cfg_M4_EQ_STD_def*mot_eq_std_cn_def+cfg_M4_EQ_HDG_def*mot_eq_hdg_cn_def+cfg_M4_EQ_PRO_def*mot_eq_pro_cn_def+cfg_M4_EQ_RET_def*mot_eq_ret_cn_def+cfg_M4_REPRO_def*mot_repro_cn_def+cfg_M4_EVT_def*mot_evt_cn_def+cfg_M4_TOURN_def*mot_tourn_cn_def+cfg_M4_SEMJ_def*mot_semj_cn_def+cfg_M4_GITE_def*mot_gite_cn_def+cfg_M4_LOG_def*mot_log_cn_def+cfg_M4_STOCK_def*mot_stock_cn_def+cfg_M4_AUTO_def*mot_auto_cn_def+cfg_M4_PV_def*mot_pv_cn_def+cfg_M4_BOIS_def*mot_bois_cn_def+cfg_M4_HOTEL_def*mot_hot_cn_def</f>
        <v/>
      </c>
    </row>
    <row r="33">
      <c r="A33" s="2" t="inlineStr">
        <is>
          <t>M4_nette</t>
        </is>
      </c>
      <c r="B33" s="2" t="inlineStr">
        <is>
          <t>M4 — contribution disponible pour le domaine (après fuite fiscale)</t>
        </is>
      </c>
      <c r="C33" s="2" t="inlineStr">
        <is>
          <t>Château-hôtel opéré (15 chambres) + réceptions et séminaires</t>
        </is>
      </c>
      <c r="D33" s="16" t="n">
        <v>0</v>
      </c>
      <c r="E33" s="17">
        <f>IF(E32&gt;0,E32*(1-fuite_fiscale_fav),E32)</f>
        <v/>
      </c>
      <c r="F33" s="17">
        <f>IF(F32&gt;0,F32*(1-fuite_fiscale),F32)</f>
        <v/>
      </c>
      <c r="G33" s="17">
        <f>IF(G32&gt;0,G32*(1-fuite_fiscale_def),G32)</f>
        <v/>
      </c>
    </row>
    <row r="34">
      <c r="A34" s="2" t="inlineStr">
        <is>
          <t>M4_besoin</t>
        </is>
      </c>
      <c r="B34" s="2" t="inlineStr">
        <is>
          <t>M4 — besoin annuel du domaine S2 (feuille Budget)</t>
        </is>
      </c>
      <c r="C34" s="2" t="inlineStr">
        <is>
          <t>Château-hôtel opéré (15 chambres) + réceptions et séminaires</t>
        </is>
      </c>
      <c r="D34" s="16" t="n">
        <v>0</v>
      </c>
      <c r="E34" s="17">
        <f>bud_total_besoin_S2_fav</f>
        <v/>
      </c>
      <c r="F34" s="17">
        <f>bud_total_besoin_S2</f>
        <v/>
      </c>
      <c r="G34" s="17">
        <f>bud_total_besoin_S2_def</f>
        <v/>
      </c>
    </row>
    <row r="35">
      <c r="A35" s="2" t="inlineStr">
        <is>
          <t>couv_M4</t>
        </is>
      </c>
      <c r="B35" s="2" t="inlineStr">
        <is>
          <t>M4 — couverture du besoin par les activités sur place</t>
        </is>
      </c>
      <c r="C35" s="2" t="inlineStr">
        <is>
          <t>Château-hôtel opéré (15 chambres) + réceptions et séminaires</t>
        </is>
      </c>
      <c r="D35" s="16" t="n">
        <v>0</v>
      </c>
      <c r="E35" s="20">
        <f>E33/E34</f>
        <v/>
      </c>
      <c r="F35" s="20">
        <f>F33/F34</f>
        <v/>
      </c>
      <c r="G35" s="20">
        <f>G33/G34</f>
        <v/>
      </c>
    </row>
    <row r="36">
      <c r="A36" s="2" t="inlineStr">
        <is>
          <t>M4_ecart</t>
        </is>
      </c>
      <c r="B36" s="2" t="inlineStr">
        <is>
          <t>M4 — écart restant à financer</t>
        </is>
      </c>
      <c r="C36" s="2" t="inlineStr">
        <is>
          <t>Château-hôtel opéré (15 chambres) + réceptions et séminaires</t>
        </is>
      </c>
      <c r="D36" s="16" t="n">
        <v>0</v>
      </c>
      <c r="E36" s="17">
        <f>MAX(0,E34-E33)</f>
        <v/>
      </c>
      <c r="F36" s="17">
        <f>MAX(0,F34-F33)</f>
        <v/>
      </c>
      <c r="G36" s="17">
        <f>MAX(0,G34-G33)</f>
        <v/>
      </c>
    </row>
    <row r="37">
      <c r="A37" s="2" t="inlineStr">
        <is>
          <t>M4_dotation</t>
        </is>
      </c>
      <c r="B37" s="2" t="inlineStr">
        <is>
          <t>M4 — capital de dotation nécessaire pour combler l'écart</t>
        </is>
      </c>
      <c r="C37" s="2" t="inlineStr">
        <is>
          <t>Château-hôtel opéré (15 chambres) + réceptions et séminaires</t>
        </is>
      </c>
      <c r="D37" s="16" t="n">
        <v>0</v>
      </c>
      <c r="E37" s="17">
        <f>E36/dot_taux_net_fav</f>
        <v/>
      </c>
      <c r="F37" s="17">
        <f>F36/dot_taux_net</f>
        <v/>
      </c>
      <c r="G37" s="17">
        <f>G36/dot_taux_net_def</f>
        <v/>
      </c>
    </row>
    <row r="38">
      <c r="A38" s="2" t="inlineStr">
        <is>
          <t>M4_ebitda</t>
        </is>
      </c>
      <c r="B38" s="2" t="inlineStr">
        <is>
          <t>M4 — ou EBITDA d'entreprise extérieure nécessaire</t>
        </is>
      </c>
      <c r="C38" s="2" t="inlineStr">
        <is>
          <t>Château-hôtel opéré (15 chambres) + réceptions et séminaires</t>
        </is>
      </c>
      <c r="D38" s="16" t="n">
        <v>0</v>
      </c>
      <c r="E38" s="17">
        <f>E36/ent_conversion_fav</f>
        <v/>
      </c>
      <c r="F38" s="17">
        <f>F36/ent_conversion</f>
        <v/>
      </c>
      <c r="G38" s="17">
        <f>G36/ent_conversion_def</f>
        <v/>
      </c>
    </row>
    <row r="39">
      <c r="A39" s="2" t="inlineStr">
        <is>
          <t>M4_invest</t>
        </is>
      </c>
      <c r="B39" s="2" t="inlineStr">
        <is>
          <t>M4 — investissement initial des activités</t>
        </is>
      </c>
      <c r="C39" s="2" t="inlineStr">
        <is>
          <t>Château-hôtel opéré (15 chambres) + réceptions et séminaires</t>
        </is>
      </c>
      <c r="D39" s="16" t="n">
        <v>0</v>
      </c>
      <c r="E39" s="17">
        <f>cfg_M4_EVT_fav*mot_evt_inv_fav+cfg_M4_GITE_fav*mot_gite_inv_fav+cfg_M4_LOG_fav*mot_log_inv_fav+cfg_M4_STOCK_fav*stock_capex_fav+cfg_M4_AUTO_fav*auto_capex_fav+cfg_M4_HOTEL_fav*mot_hot_inv_fav</f>
        <v/>
      </c>
      <c r="F39" s="17">
        <f>cfg_M4_EVT*mot_evt_inv+cfg_M4_GITE*mot_gite_inv+cfg_M4_LOG*mot_log_inv+cfg_M4_STOCK*stock_capex+cfg_M4_AUTO*auto_capex+cfg_M4_HOTEL*mot_hot_inv</f>
        <v/>
      </c>
      <c r="G39" s="17">
        <f>cfg_M4_EVT_def*mot_evt_inv_def+cfg_M4_GITE_def*mot_gite_inv_def+cfg_M4_LOG_def*mot_log_inv_def+cfg_M4_STOCK_def*stock_capex_def+cfg_M4_AUTO_def*auto_capex_def+cfg_M4_HOTEL_def*mot_hot_inv_def</f>
        <v/>
      </c>
    </row>
    <row r="40">
      <c r="A40" s="2" t="inlineStr">
        <is>
          <t>part_M4_recurrent</t>
        </is>
      </c>
      <c r="B40" s="2" t="inlineStr">
        <is>
          <t>M4 — part des contributions récurrentes (classes A et B)</t>
        </is>
      </c>
      <c r="C40" s="2" t="inlineStr">
        <is>
          <t>Château-hôtel opéré (15 chambres) + réceptions et séminaires</t>
        </is>
      </c>
      <c r="D40" s="16" t="n">
        <v>0</v>
      </c>
      <c r="E40" s="20">
        <f>IF(E32&gt;0,(cfg_M4_EQ_STD_fav*mot_eq_std_cn_fav+cfg_M4_EQ_HDG_fav*mot_eq_hdg_cn_fav+cfg_M4_EQ_PRO_fav*mot_eq_pro_cn_fav+cfg_M4_EQ_RET_fav*mot_eq_ret_cn_fav+cfg_M4_REPRO_fav*mot_repro_cn_fav+cfg_M4_LOG_fav*mot_log_cn_fav+cfg_M4_STOCK_fav*mot_stock_cn_fav+cfg_M4_AUTO_fav*mot_auto_cn_fav+cfg_M4_PV_fav*mot_pv_cn_fav+cfg_M4_BOIS_fav*mot_bois_cn_fav+cfg_M4_HOTEL_fav*mot_hot_cn_fav)/E32,0)</f>
        <v/>
      </c>
      <c r="F40" s="20">
        <f>IF(F32&gt;0,(cfg_M4_EQ_STD*mot_eq_std_cn+cfg_M4_EQ_HDG*mot_eq_hdg_cn+cfg_M4_EQ_PRO*mot_eq_pro_cn+cfg_M4_EQ_RET*mot_eq_ret_cn+cfg_M4_REPRO*mot_repro_cn+cfg_M4_LOG*mot_log_cn+cfg_M4_STOCK*mot_stock_cn+cfg_M4_AUTO*mot_auto_cn+cfg_M4_PV*mot_pv_cn+cfg_M4_BOIS*mot_bois_cn+cfg_M4_HOTEL*mot_hot_cn)/F32,0)</f>
        <v/>
      </c>
      <c r="G40" s="20">
        <f>IF(G32&gt;0,(cfg_M4_EQ_STD_def*mot_eq_std_cn_def+cfg_M4_EQ_HDG_def*mot_eq_hdg_cn_def+cfg_M4_EQ_PRO_def*mot_eq_pro_cn_def+cfg_M4_EQ_RET_def*mot_eq_ret_cn_def+cfg_M4_REPRO_def*mot_repro_cn_def+cfg_M4_LOG_def*mot_log_cn_def+cfg_M4_STOCK_def*mot_stock_cn_def+cfg_M4_AUTO_def*mot_auto_cn_def+cfg_M4_PV_def*mot_pv_cn_def+cfg_M4_BOIS_def*mot_bois_cn_def+cfg_M4_HOTEL_def*mot_hot_cn_def)/G32,0)</f>
        <v/>
      </c>
    </row>
    <row r="41">
      <c r="A41" s="2" t="inlineStr">
        <is>
          <t>M5_brute</t>
        </is>
      </c>
      <c r="B41" s="2" t="inlineStr">
        <is>
          <t>M5 — contribution brute des activités sur place (avant impôt)</t>
        </is>
      </c>
      <c r="C41" s="2" t="inlineStr">
        <is>
          <t>Socle minimal + dotation financière extérieure</t>
        </is>
      </c>
      <c r="D41" s="16" t="n">
        <v>0</v>
      </c>
      <c r="E41" s="17">
        <f>cfg_M5_EQ_STD_fav*mot_eq_std_cn_fav+cfg_M5_EQ_HDG_fav*mot_eq_hdg_cn_fav+cfg_M5_EQ_PRO_fav*mot_eq_pro_cn_fav+cfg_M5_EQ_RET_fav*mot_eq_ret_cn_fav+cfg_M5_REPRO_fav*mot_repro_cn_fav+cfg_M5_EVT_fav*mot_evt_cn_fav+cfg_M5_TOURN_fav*mot_tourn_cn_fav+cfg_M5_SEMJ_fav*mot_semj_cn_fav+cfg_M5_GITE_fav*mot_gite_cn_fav+cfg_M5_LOG_fav*mot_log_cn_fav+cfg_M5_STOCK_fav*mot_stock_cn_fav+cfg_M5_AUTO_fav*mot_auto_cn_fav+cfg_M5_PV_fav*mot_pv_cn_fav+cfg_M5_BOIS_fav*mot_bois_cn_fav+cfg_M5_HOTEL_fav*mot_hot_cn_fav</f>
        <v/>
      </c>
      <c r="F41" s="17">
        <f>cfg_M5_EQ_STD*mot_eq_std_cn+cfg_M5_EQ_HDG*mot_eq_hdg_cn+cfg_M5_EQ_PRO*mot_eq_pro_cn+cfg_M5_EQ_RET*mot_eq_ret_cn+cfg_M5_REPRO*mot_repro_cn+cfg_M5_EVT*mot_evt_cn+cfg_M5_TOURN*mot_tourn_cn+cfg_M5_SEMJ*mot_semj_cn+cfg_M5_GITE*mot_gite_cn+cfg_M5_LOG*mot_log_cn+cfg_M5_STOCK*mot_stock_cn+cfg_M5_AUTO*mot_auto_cn+cfg_M5_PV*mot_pv_cn+cfg_M5_BOIS*mot_bois_cn+cfg_M5_HOTEL*mot_hot_cn</f>
        <v/>
      </c>
      <c r="G41" s="17">
        <f>cfg_M5_EQ_STD_def*mot_eq_std_cn_def+cfg_M5_EQ_HDG_def*mot_eq_hdg_cn_def+cfg_M5_EQ_PRO_def*mot_eq_pro_cn_def+cfg_M5_EQ_RET_def*mot_eq_ret_cn_def+cfg_M5_REPRO_def*mot_repro_cn_def+cfg_M5_EVT_def*mot_evt_cn_def+cfg_M5_TOURN_def*mot_tourn_cn_def+cfg_M5_SEMJ_def*mot_semj_cn_def+cfg_M5_GITE_def*mot_gite_cn_def+cfg_M5_LOG_def*mot_log_cn_def+cfg_M5_STOCK_def*mot_stock_cn_def+cfg_M5_AUTO_def*mot_auto_cn_def+cfg_M5_PV_def*mot_pv_cn_def+cfg_M5_BOIS_def*mot_bois_cn_def+cfg_M5_HOTEL_def*mot_hot_cn_def</f>
        <v/>
      </c>
    </row>
    <row r="42">
      <c r="A42" s="2" t="inlineStr">
        <is>
          <t>M5_nette</t>
        </is>
      </c>
      <c r="B42" s="2" t="inlineStr">
        <is>
          <t>M5 — contribution disponible pour le domaine (après fuite fiscale)</t>
        </is>
      </c>
      <c r="C42" s="2" t="inlineStr">
        <is>
          <t>Socle minimal + dotation financière extérieure</t>
        </is>
      </c>
      <c r="D42" s="16" t="n">
        <v>0</v>
      </c>
      <c r="E42" s="17">
        <f>IF(E41&gt;0,E41*(1-fuite_fiscale_fav),E41)</f>
        <v/>
      </c>
      <c r="F42" s="17">
        <f>IF(F41&gt;0,F41*(1-fuite_fiscale),F41)</f>
        <v/>
      </c>
      <c r="G42" s="17">
        <f>IF(G41&gt;0,G41*(1-fuite_fiscale_def),G41)</f>
        <v/>
      </c>
    </row>
    <row r="43">
      <c r="A43" s="2" t="inlineStr">
        <is>
          <t>M5_besoin</t>
        </is>
      </c>
      <c r="B43" s="2" t="inlineStr">
        <is>
          <t>M5 — besoin annuel du domaine S2 (feuille Budget)</t>
        </is>
      </c>
      <c r="C43" s="2" t="inlineStr">
        <is>
          <t>Socle minimal + dotation financière extérieure</t>
        </is>
      </c>
      <c r="D43" s="16" t="n">
        <v>0</v>
      </c>
      <c r="E43" s="17">
        <f>bud_total_besoin_S2_fav</f>
        <v/>
      </c>
      <c r="F43" s="17">
        <f>bud_total_besoin_S2</f>
        <v/>
      </c>
      <c r="G43" s="17">
        <f>bud_total_besoin_S2_def</f>
        <v/>
      </c>
    </row>
    <row r="44">
      <c r="A44" s="2" t="inlineStr">
        <is>
          <t>couv_M5</t>
        </is>
      </c>
      <c r="B44" s="2" t="inlineStr">
        <is>
          <t>M5 — couverture du besoin par les activités sur place</t>
        </is>
      </c>
      <c r="C44" s="2" t="inlineStr">
        <is>
          <t>Socle minimal + dotation financière extérieure</t>
        </is>
      </c>
      <c r="D44" s="16" t="n">
        <v>0</v>
      </c>
      <c r="E44" s="20">
        <f>E42/E43</f>
        <v/>
      </c>
      <c r="F44" s="20">
        <f>F42/F43</f>
        <v/>
      </c>
      <c r="G44" s="20">
        <f>G42/G43</f>
        <v/>
      </c>
    </row>
    <row r="45">
      <c r="A45" s="2" t="inlineStr">
        <is>
          <t>M5_ecart</t>
        </is>
      </c>
      <c r="B45" s="2" t="inlineStr">
        <is>
          <t>M5 — écart restant à financer</t>
        </is>
      </c>
      <c r="C45" s="2" t="inlineStr">
        <is>
          <t>Socle minimal + dotation financière extérieure</t>
        </is>
      </c>
      <c r="D45" s="16" t="n">
        <v>0</v>
      </c>
      <c r="E45" s="17">
        <f>MAX(0,E43-E42)</f>
        <v/>
      </c>
      <c r="F45" s="17">
        <f>MAX(0,F43-F42)</f>
        <v/>
      </c>
      <c r="G45" s="17">
        <f>MAX(0,G43-G42)</f>
        <v/>
      </c>
    </row>
    <row r="46">
      <c r="A46" s="2" t="inlineStr">
        <is>
          <t>M5_dotation</t>
        </is>
      </c>
      <c r="B46" s="2" t="inlineStr">
        <is>
          <t>M5 — capital de dotation nécessaire pour combler l'écart</t>
        </is>
      </c>
      <c r="C46" s="2" t="inlineStr">
        <is>
          <t>Socle minimal + dotation financière extérieure</t>
        </is>
      </c>
      <c r="D46" s="16" t="n">
        <v>0</v>
      </c>
      <c r="E46" s="17">
        <f>E45/dot_taux_net_fav</f>
        <v/>
      </c>
      <c r="F46" s="17">
        <f>F45/dot_taux_net</f>
        <v/>
      </c>
      <c r="G46" s="17">
        <f>G45/dot_taux_net_def</f>
        <v/>
      </c>
    </row>
    <row r="47">
      <c r="A47" s="2" t="inlineStr">
        <is>
          <t>M5_ebitda</t>
        </is>
      </c>
      <c r="B47" s="2" t="inlineStr">
        <is>
          <t>M5 — ou EBITDA d'entreprise extérieure nécessaire</t>
        </is>
      </c>
      <c r="C47" s="2" t="inlineStr">
        <is>
          <t>Socle minimal + dotation financière extérieure</t>
        </is>
      </c>
      <c r="D47" s="16" t="n">
        <v>0</v>
      </c>
      <c r="E47" s="17">
        <f>E45/ent_conversion_fav</f>
        <v/>
      </c>
      <c r="F47" s="17">
        <f>F45/ent_conversion</f>
        <v/>
      </c>
      <c r="G47" s="17">
        <f>G45/ent_conversion_def</f>
        <v/>
      </c>
    </row>
    <row r="48">
      <c r="A48" s="2" t="inlineStr">
        <is>
          <t>M5_invest</t>
        </is>
      </c>
      <c r="B48" s="2" t="inlineStr">
        <is>
          <t>M5 — investissement initial des activités</t>
        </is>
      </c>
      <c r="C48" s="2" t="inlineStr">
        <is>
          <t>Socle minimal + dotation financière extérieure</t>
        </is>
      </c>
      <c r="D48" s="16" t="n">
        <v>0</v>
      </c>
      <c r="E48" s="17">
        <f>cfg_M5_EVT_fav*mot_evt_inv_fav+cfg_M5_GITE_fav*mot_gite_inv_fav+cfg_M5_LOG_fav*mot_log_inv_fav+cfg_M5_STOCK_fav*stock_capex_fav+cfg_M5_AUTO_fav*auto_capex_fav+cfg_M5_HOTEL_fav*mot_hot_inv_fav</f>
        <v/>
      </c>
      <c r="F48" s="17">
        <f>cfg_M5_EVT*mot_evt_inv+cfg_M5_GITE*mot_gite_inv+cfg_M5_LOG*mot_log_inv+cfg_M5_STOCK*stock_capex+cfg_M5_AUTO*auto_capex+cfg_M5_HOTEL*mot_hot_inv</f>
        <v/>
      </c>
      <c r="G48" s="17">
        <f>cfg_M5_EVT_def*mot_evt_inv_def+cfg_M5_GITE_def*mot_gite_inv_def+cfg_M5_LOG_def*mot_log_inv_def+cfg_M5_STOCK_def*stock_capex_def+cfg_M5_AUTO_def*auto_capex_def+cfg_M5_HOTEL_def*mot_hot_inv_def</f>
        <v/>
      </c>
    </row>
    <row r="49">
      <c r="A49" s="2" t="inlineStr">
        <is>
          <t>part_M5_recurrent</t>
        </is>
      </c>
      <c r="B49" s="2" t="inlineStr">
        <is>
          <t>M5 — part des contributions récurrentes (classes A et B)</t>
        </is>
      </c>
      <c r="C49" s="2" t="inlineStr">
        <is>
          <t>Socle minimal + dotation financière extérieure</t>
        </is>
      </c>
      <c r="D49" s="16" t="n">
        <v>0</v>
      </c>
      <c r="E49" s="20">
        <f>IF(E41&gt;0,(cfg_M5_EQ_STD_fav*mot_eq_std_cn_fav+cfg_M5_EQ_HDG_fav*mot_eq_hdg_cn_fav+cfg_M5_EQ_PRO_fav*mot_eq_pro_cn_fav+cfg_M5_EQ_RET_fav*mot_eq_ret_cn_fav+cfg_M5_REPRO_fav*mot_repro_cn_fav+cfg_M5_LOG_fav*mot_log_cn_fav+cfg_M5_STOCK_fav*mot_stock_cn_fav+cfg_M5_AUTO_fav*mot_auto_cn_fav+cfg_M5_PV_fav*mot_pv_cn_fav+cfg_M5_BOIS_fav*mot_bois_cn_fav+cfg_M5_HOTEL_fav*mot_hot_cn_fav)/E41,0)</f>
        <v/>
      </c>
      <c r="F49" s="20">
        <f>IF(F41&gt;0,(cfg_M5_EQ_STD*mot_eq_std_cn+cfg_M5_EQ_HDG*mot_eq_hdg_cn+cfg_M5_EQ_PRO*mot_eq_pro_cn+cfg_M5_EQ_RET*mot_eq_ret_cn+cfg_M5_REPRO*mot_repro_cn+cfg_M5_LOG*mot_log_cn+cfg_M5_STOCK*mot_stock_cn+cfg_M5_AUTO*mot_auto_cn+cfg_M5_PV*mot_pv_cn+cfg_M5_BOIS*mot_bois_cn+cfg_M5_HOTEL*mot_hot_cn)/F41,0)</f>
        <v/>
      </c>
      <c r="G49" s="20">
        <f>IF(G41&gt;0,(cfg_M5_EQ_STD_def*mot_eq_std_cn_def+cfg_M5_EQ_HDG_def*mot_eq_hdg_cn_def+cfg_M5_EQ_PRO_def*mot_eq_pro_cn_def+cfg_M5_EQ_RET_def*mot_eq_ret_cn_def+cfg_M5_REPRO_def*mot_repro_cn_def+cfg_M5_LOG_def*mot_log_cn_def+cfg_M5_STOCK_def*mot_stock_cn_def+cfg_M5_AUTO_def*mot_auto_cn_def+cfg_M5_PV_def*mot_pv_cn_def+cfg_M5_BOIS_def*mot_bois_cn_def+cfg_M5_HOTEL_def*mot_hot_cn_def)/G41,0)</f>
        <v/>
      </c>
    </row>
    <row r="50">
      <c r="A50" s="2" t="inlineStr">
        <is>
          <t>M6_brute</t>
        </is>
      </c>
      <c r="B50" s="2" t="inlineStr">
        <is>
          <t>M6 — contribution brute des activités sur place (avant impôt)</t>
        </is>
      </c>
      <c r="C50" s="2" t="inlineStr">
        <is>
          <t>Socle minimal + entreprise extérieure</t>
        </is>
      </c>
      <c r="D50" s="16" t="n">
        <v>0</v>
      </c>
      <c r="E50" s="17">
        <f>cfg_M6_EQ_STD_fav*mot_eq_std_cn_fav+cfg_M6_EQ_HDG_fav*mot_eq_hdg_cn_fav+cfg_M6_EQ_PRO_fav*mot_eq_pro_cn_fav+cfg_M6_EQ_RET_fav*mot_eq_ret_cn_fav+cfg_M6_REPRO_fav*mot_repro_cn_fav+cfg_M6_EVT_fav*mot_evt_cn_fav+cfg_M6_TOURN_fav*mot_tourn_cn_fav+cfg_M6_SEMJ_fav*mot_semj_cn_fav+cfg_M6_GITE_fav*mot_gite_cn_fav+cfg_M6_LOG_fav*mot_log_cn_fav+cfg_M6_STOCK_fav*mot_stock_cn_fav+cfg_M6_AUTO_fav*mot_auto_cn_fav+cfg_M6_PV_fav*mot_pv_cn_fav+cfg_M6_BOIS_fav*mot_bois_cn_fav+cfg_M6_HOTEL_fav*mot_hot_cn_fav</f>
        <v/>
      </c>
      <c r="F50" s="17">
        <f>cfg_M6_EQ_STD*mot_eq_std_cn+cfg_M6_EQ_HDG*mot_eq_hdg_cn+cfg_M6_EQ_PRO*mot_eq_pro_cn+cfg_M6_EQ_RET*mot_eq_ret_cn+cfg_M6_REPRO*mot_repro_cn+cfg_M6_EVT*mot_evt_cn+cfg_M6_TOURN*mot_tourn_cn+cfg_M6_SEMJ*mot_semj_cn+cfg_M6_GITE*mot_gite_cn+cfg_M6_LOG*mot_log_cn+cfg_M6_STOCK*mot_stock_cn+cfg_M6_AUTO*mot_auto_cn+cfg_M6_PV*mot_pv_cn+cfg_M6_BOIS*mot_bois_cn+cfg_M6_HOTEL*mot_hot_cn</f>
        <v/>
      </c>
      <c r="G50" s="17">
        <f>cfg_M6_EQ_STD_def*mot_eq_std_cn_def+cfg_M6_EQ_HDG_def*mot_eq_hdg_cn_def+cfg_M6_EQ_PRO_def*mot_eq_pro_cn_def+cfg_M6_EQ_RET_def*mot_eq_ret_cn_def+cfg_M6_REPRO_def*mot_repro_cn_def+cfg_M6_EVT_def*mot_evt_cn_def+cfg_M6_TOURN_def*mot_tourn_cn_def+cfg_M6_SEMJ_def*mot_semj_cn_def+cfg_M6_GITE_def*mot_gite_cn_def+cfg_M6_LOG_def*mot_log_cn_def+cfg_M6_STOCK_def*mot_stock_cn_def+cfg_M6_AUTO_def*mot_auto_cn_def+cfg_M6_PV_def*mot_pv_cn_def+cfg_M6_BOIS_def*mot_bois_cn_def+cfg_M6_HOTEL_def*mot_hot_cn_def</f>
        <v/>
      </c>
    </row>
    <row r="51">
      <c r="A51" s="2" t="inlineStr">
        <is>
          <t>M6_nette</t>
        </is>
      </c>
      <c r="B51" s="2" t="inlineStr">
        <is>
          <t>M6 — contribution disponible pour le domaine (après fuite fiscale)</t>
        </is>
      </c>
      <c r="C51" s="2" t="inlineStr">
        <is>
          <t>Socle minimal + entreprise extérieure</t>
        </is>
      </c>
      <c r="D51" s="16" t="n">
        <v>0</v>
      </c>
      <c r="E51" s="17">
        <f>IF(E50&gt;0,E50*(1-fuite_fiscale_fav),E50)</f>
        <v/>
      </c>
      <c r="F51" s="17">
        <f>IF(F50&gt;0,F50*(1-fuite_fiscale),F50)</f>
        <v/>
      </c>
      <c r="G51" s="17">
        <f>IF(G50&gt;0,G50*(1-fuite_fiscale_def),G50)</f>
        <v/>
      </c>
    </row>
    <row r="52">
      <c r="A52" s="2" t="inlineStr">
        <is>
          <t>M6_besoin</t>
        </is>
      </c>
      <c r="B52" s="2" t="inlineStr">
        <is>
          <t>M6 — besoin annuel du domaine S2 (feuille Budget)</t>
        </is>
      </c>
      <c r="C52" s="2" t="inlineStr">
        <is>
          <t>Socle minimal + entreprise extérieure</t>
        </is>
      </c>
      <c r="D52" s="16" t="n">
        <v>0</v>
      </c>
      <c r="E52" s="17">
        <f>bud_total_besoin_S2_fav</f>
        <v/>
      </c>
      <c r="F52" s="17">
        <f>bud_total_besoin_S2</f>
        <v/>
      </c>
      <c r="G52" s="17">
        <f>bud_total_besoin_S2_def</f>
        <v/>
      </c>
    </row>
    <row r="53">
      <c r="A53" s="2" t="inlineStr">
        <is>
          <t>couv_M6</t>
        </is>
      </c>
      <c r="B53" s="2" t="inlineStr">
        <is>
          <t>M6 — couverture du besoin par les activités sur place</t>
        </is>
      </c>
      <c r="C53" s="2" t="inlineStr">
        <is>
          <t>Socle minimal + entreprise extérieure</t>
        </is>
      </c>
      <c r="D53" s="16" t="n">
        <v>0</v>
      </c>
      <c r="E53" s="20">
        <f>E51/E52</f>
        <v/>
      </c>
      <c r="F53" s="20">
        <f>F51/F52</f>
        <v/>
      </c>
      <c r="G53" s="20">
        <f>G51/G52</f>
        <v/>
      </c>
    </row>
    <row r="54">
      <c r="A54" s="2" t="inlineStr">
        <is>
          <t>M6_ecart</t>
        </is>
      </c>
      <c r="B54" s="2" t="inlineStr">
        <is>
          <t>M6 — écart restant à financer</t>
        </is>
      </c>
      <c r="C54" s="2" t="inlineStr">
        <is>
          <t>Socle minimal + entreprise extérieure</t>
        </is>
      </c>
      <c r="D54" s="16" t="n">
        <v>0</v>
      </c>
      <c r="E54" s="17">
        <f>MAX(0,E52-E51)</f>
        <v/>
      </c>
      <c r="F54" s="17">
        <f>MAX(0,F52-F51)</f>
        <v/>
      </c>
      <c r="G54" s="17">
        <f>MAX(0,G52-G51)</f>
        <v/>
      </c>
    </row>
    <row r="55">
      <c r="A55" s="2" t="inlineStr">
        <is>
          <t>M6_dotation</t>
        </is>
      </c>
      <c r="B55" s="2" t="inlineStr">
        <is>
          <t>M6 — capital de dotation nécessaire pour combler l'écart</t>
        </is>
      </c>
      <c r="C55" s="2" t="inlineStr">
        <is>
          <t>Socle minimal + entreprise extérieure</t>
        </is>
      </c>
      <c r="D55" s="16" t="n">
        <v>0</v>
      </c>
      <c r="E55" s="17">
        <f>E54/dot_taux_net_fav</f>
        <v/>
      </c>
      <c r="F55" s="17">
        <f>F54/dot_taux_net</f>
        <v/>
      </c>
      <c r="G55" s="17">
        <f>G54/dot_taux_net_def</f>
        <v/>
      </c>
    </row>
    <row r="56">
      <c r="A56" s="2" t="inlineStr">
        <is>
          <t>M6_ebitda</t>
        </is>
      </c>
      <c r="B56" s="2" t="inlineStr">
        <is>
          <t>M6 — ou EBITDA d'entreprise extérieure nécessaire</t>
        </is>
      </c>
      <c r="C56" s="2" t="inlineStr">
        <is>
          <t>Socle minimal + entreprise extérieure</t>
        </is>
      </c>
      <c r="D56" s="16" t="n">
        <v>0</v>
      </c>
      <c r="E56" s="17">
        <f>E54/ent_conversion_fav</f>
        <v/>
      </c>
      <c r="F56" s="17">
        <f>F54/ent_conversion</f>
        <v/>
      </c>
      <c r="G56" s="17">
        <f>G54/ent_conversion_def</f>
        <v/>
      </c>
    </row>
    <row r="57">
      <c r="A57" s="2" t="inlineStr">
        <is>
          <t>M6_invest</t>
        </is>
      </c>
      <c r="B57" s="2" t="inlineStr">
        <is>
          <t>M6 — investissement initial des activités</t>
        </is>
      </c>
      <c r="C57" s="2" t="inlineStr">
        <is>
          <t>Socle minimal + entreprise extérieure</t>
        </is>
      </c>
      <c r="D57" s="16" t="n">
        <v>0</v>
      </c>
      <c r="E57" s="17">
        <f>cfg_M6_EVT_fav*mot_evt_inv_fav+cfg_M6_GITE_fav*mot_gite_inv_fav+cfg_M6_LOG_fav*mot_log_inv_fav+cfg_M6_STOCK_fav*stock_capex_fav+cfg_M6_AUTO_fav*auto_capex_fav+cfg_M6_HOTEL_fav*mot_hot_inv_fav</f>
        <v/>
      </c>
      <c r="F57" s="17">
        <f>cfg_M6_EVT*mot_evt_inv+cfg_M6_GITE*mot_gite_inv+cfg_M6_LOG*mot_log_inv+cfg_M6_STOCK*stock_capex+cfg_M6_AUTO*auto_capex+cfg_M6_HOTEL*mot_hot_inv</f>
        <v/>
      </c>
      <c r="G57" s="17">
        <f>cfg_M6_EVT_def*mot_evt_inv_def+cfg_M6_GITE_def*mot_gite_inv_def+cfg_M6_LOG_def*mot_log_inv_def+cfg_M6_STOCK_def*stock_capex_def+cfg_M6_AUTO_def*auto_capex_def+cfg_M6_HOTEL_def*mot_hot_inv_def</f>
        <v/>
      </c>
    </row>
    <row r="58">
      <c r="A58" s="2" t="inlineStr">
        <is>
          <t>part_M6_recurrent</t>
        </is>
      </c>
      <c r="B58" s="2" t="inlineStr">
        <is>
          <t>M6 — part des contributions récurrentes (classes A et B)</t>
        </is>
      </c>
      <c r="C58" s="2" t="inlineStr">
        <is>
          <t>Socle minimal + entreprise extérieure</t>
        </is>
      </c>
      <c r="D58" s="16" t="n">
        <v>0</v>
      </c>
      <c r="E58" s="20">
        <f>IF(E50&gt;0,(cfg_M6_EQ_STD_fav*mot_eq_std_cn_fav+cfg_M6_EQ_HDG_fav*mot_eq_hdg_cn_fav+cfg_M6_EQ_PRO_fav*mot_eq_pro_cn_fav+cfg_M6_EQ_RET_fav*mot_eq_ret_cn_fav+cfg_M6_REPRO_fav*mot_repro_cn_fav+cfg_M6_LOG_fav*mot_log_cn_fav+cfg_M6_STOCK_fav*mot_stock_cn_fav+cfg_M6_AUTO_fav*mot_auto_cn_fav+cfg_M6_PV_fav*mot_pv_cn_fav+cfg_M6_BOIS_fav*mot_bois_cn_fav+cfg_M6_HOTEL_fav*mot_hot_cn_fav)/E50,0)</f>
        <v/>
      </c>
      <c r="F58" s="20">
        <f>IF(F50&gt;0,(cfg_M6_EQ_STD*mot_eq_std_cn+cfg_M6_EQ_HDG*mot_eq_hdg_cn+cfg_M6_EQ_PRO*mot_eq_pro_cn+cfg_M6_EQ_RET*mot_eq_ret_cn+cfg_M6_REPRO*mot_repro_cn+cfg_M6_LOG*mot_log_cn+cfg_M6_STOCK*mot_stock_cn+cfg_M6_AUTO*mot_auto_cn+cfg_M6_PV*mot_pv_cn+cfg_M6_BOIS*mot_bois_cn+cfg_M6_HOTEL*mot_hot_cn)/F50,0)</f>
        <v/>
      </c>
      <c r="G58" s="20">
        <f>IF(G50&gt;0,(cfg_M6_EQ_STD_def*mot_eq_std_cn_def+cfg_M6_EQ_HDG_def*mot_eq_hdg_cn_def+cfg_M6_EQ_PRO_def*mot_eq_pro_cn_def+cfg_M6_EQ_RET_def*mot_eq_ret_cn_def+cfg_M6_REPRO_def*mot_repro_cn_def+cfg_M6_LOG_def*mot_log_cn_def+cfg_M6_STOCK_def*mot_stock_cn_def+cfg_M6_AUTO_def*mot_auto_cn_def+cfg_M6_PV_def*mot_pv_cn_def+cfg_M6_BOIS_def*mot_bois_cn_def+cfg_M6_HOTEL_def*mot_hot_cn_def)/G50,0)</f>
        <v/>
      </c>
    </row>
  </sheetData>
  <mergeCells count="1">
    <mergeCell ref="A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activités sur place seules, sans moteur extérieur (démonstration de l'écart)</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D5*(1+g_salaires+st_central_g_sal_extra)</f>
        <v/>
      </c>
      <c r="F5" s="21">
        <f>E5*(1+g_salaires+st_central_g_sal_extra)</f>
        <v/>
      </c>
      <c r="G5" s="21">
        <f>F5*(1+g_salaires+st_central_g_sal_extra)</f>
        <v/>
      </c>
      <c r="H5" s="21">
        <f>G5*(1+g_salaires+st_central_g_sal_extra)</f>
        <v/>
      </c>
      <c r="I5" s="21">
        <f>H5*(1+g_salaires+st_central_g_sal_extra)</f>
        <v/>
      </c>
      <c r="J5" s="21">
        <f>I5*(1+g_salaires+st_central_g_sal_extra)</f>
        <v/>
      </c>
      <c r="K5" s="21">
        <f>J5*(1+g_salaires+st_central_g_sal_extra)</f>
        <v/>
      </c>
      <c r="L5" s="21">
        <f>K5*(1+g_salaires+st_central_g_sal_extra)</f>
        <v/>
      </c>
      <c r="M5" s="21">
        <f>L5*(1+g_salaires+st_central_g_sal_extra)</f>
        <v/>
      </c>
      <c r="N5" s="21">
        <f>M5*(1+g_salaires+st_central_g_sal_extra)</f>
        <v/>
      </c>
      <c r="O5" s="21">
        <f>N5*(1+g_salaires+st_central_g_sal_extra)</f>
        <v/>
      </c>
      <c r="P5" s="21">
        <f>O5*(1+g_salaires+st_central_g_sal_extra)</f>
        <v/>
      </c>
      <c r="Q5" s="21">
        <f>P5*(1+g_salaires+st_central_g_sal_extra)</f>
        <v/>
      </c>
      <c r="R5" s="21">
        <f>Q5*(1+g_salaires+st_central_g_sal_extra)</f>
        <v/>
      </c>
      <c r="S5" s="21">
        <f>R5*(1+g_salaires+st_central_g_sal_extra)</f>
        <v/>
      </c>
      <c r="T5" s="21">
        <f>S5*(1+g_salaires+st_central_g_sal_extra)</f>
        <v/>
      </c>
      <c r="U5" s="21">
        <f>T5*(1+g_salaires+st_central_g_sal_extra)</f>
        <v/>
      </c>
      <c r="V5" s="21">
        <f>U5*(1+g_salaires+st_central_g_sal_extra)</f>
        <v/>
      </c>
      <c r="W5" s="21">
        <f>V5*(1+g_salaires+st_central_g_sal_extra)</f>
        <v/>
      </c>
      <c r="X5" s="21">
        <f>W5*(1+g_salaires+st_central_g_sal_extra)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IF(st_central_crise_an&gt;0,IF(E$3=st_central_crise_an,1,IF(E$3=st_central_crise_an+1,2,0)),0)</f>
        <v/>
      </c>
      <c r="F10" s="21">
        <f>IF(st_central_crise_an&gt;0,IF(F$3=st_central_crise_an,1,IF(F$3=st_central_crise_an+1,2,0)),0)</f>
        <v/>
      </c>
      <c r="G10" s="21">
        <f>IF(st_central_crise_an&gt;0,IF(G$3=st_central_crise_an,1,IF(G$3=st_central_crise_an+1,2,0)),0)</f>
        <v/>
      </c>
      <c r="H10" s="21">
        <f>IF(st_central_crise_an&gt;0,IF(H$3=st_central_crise_an,1,IF(H$3=st_central_crise_an+1,2,0)),0)</f>
        <v/>
      </c>
      <c r="I10" s="21">
        <f>IF(st_central_crise_an&gt;0,IF(I$3=st_central_crise_an,1,IF(I$3=st_central_crise_an+1,2,0)),0)</f>
        <v/>
      </c>
      <c r="J10" s="21">
        <f>IF(st_central_crise_an&gt;0,IF(J$3=st_central_crise_an,1,IF(J$3=st_central_crise_an+1,2,0)),0)</f>
        <v/>
      </c>
      <c r="K10" s="21">
        <f>IF(st_central_crise_an&gt;0,IF(K$3=st_central_crise_an,1,IF(K$3=st_central_crise_an+1,2,0)),0)</f>
        <v/>
      </c>
      <c r="L10" s="21">
        <f>IF(st_central_crise_an&gt;0,IF(L$3=st_central_crise_an,1,IF(L$3=st_central_crise_an+1,2,0)),0)</f>
        <v/>
      </c>
      <c r="M10" s="21">
        <f>IF(st_central_crise_an&gt;0,IF(M$3=st_central_crise_an,1,IF(M$3=st_central_crise_an+1,2,0)),0)</f>
        <v/>
      </c>
      <c r="N10" s="21">
        <f>IF(st_central_crise_an&gt;0,IF(N$3=st_central_crise_an,1,IF(N$3=st_central_crise_an+1,2,0)),0)</f>
        <v/>
      </c>
      <c r="O10" s="21">
        <f>IF(st_central_crise_an&gt;0,IF(O$3=st_central_crise_an,1,IF(O$3=st_central_crise_an+1,2,0)),0)</f>
        <v/>
      </c>
      <c r="P10" s="21">
        <f>IF(st_central_crise_an&gt;0,IF(P$3=st_central_crise_an,1,IF(P$3=st_central_crise_an+1,2,0)),0)</f>
        <v/>
      </c>
      <c r="Q10" s="21">
        <f>IF(st_central_crise_an&gt;0,IF(Q$3=st_central_crise_an,1,IF(Q$3=st_central_crise_an+1,2,0)),0)</f>
        <v/>
      </c>
      <c r="R10" s="21">
        <f>IF(st_central_crise_an&gt;0,IF(R$3=st_central_crise_an,1,IF(R$3=st_central_crise_an+1,2,0)),0)</f>
        <v/>
      </c>
      <c r="S10" s="21">
        <f>IF(st_central_crise_an&gt;0,IF(S$3=st_central_crise_an,1,IF(S$3=st_central_crise_an+1,2,0)),0)</f>
        <v/>
      </c>
      <c r="T10" s="21">
        <f>IF(st_central_crise_an&gt;0,IF(T$3=st_central_crise_an,1,IF(T$3=st_central_crise_an+1,2,0)),0)</f>
        <v/>
      </c>
      <c r="U10" s="21">
        <f>IF(st_central_crise_an&gt;0,IF(U$3=st_central_crise_an,1,IF(U$3=st_central_crise_an+1,2,0)),0)</f>
        <v/>
      </c>
      <c r="V10" s="21">
        <f>IF(st_central_crise_an&gt;0,IF(V$3=st_central_crise_an,1,IF(V$3=st_central_crise_an+1,2,0)),0)</f>
        <v/>
      </c>
      <c r="W10" s="21">
        <f>IF(st_central_crise_an&gt;0,IF(W$3=st_central_crise_an,1,IF(W$3=st_central_crise_an+1,2,0)),0)</f>
        <v/>
      </c>
      <c r="X10" s="21">
        <f>IF(st_central_crise_an&gt;0,IF(X$3=st_central_crise_an,1,IF(X$3=st_central_crise_an+1,2,0)),0)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(bud_chauffage_S2+bud_hors_gel_S2+bud_electricite_S2)*E7*IF(AND(E$3&gt;=st_central_energie_debut,E$3&lt;=st_central_energie_fin),st_central_energie_mult,1)</f>
        <v/>
      </c>
      <c r="F13" s="17">
        <f>(bud_chauffage_S2+bud_hors_gel_S2+bud_electricite_S2)*F7*IF(AND(F$3&gt;=st_central_energie_debut,F$3&lt;=st_central_energie_fin),st_central_energie_mult,1)</f>
        <v/>
      </c>
      <c r="G13" s="17">
        <f>(bud_chauffage_S2+bud_hors_gel_S2+bud_electricite_S2)*G7*IF(AND(G$3&gt;=st_central_energie_debut,G$3&lt;=st_central_energie_fin),st_central_energie_mult,1)</f>
        <v/>
      </c>
      <c r="H13" s="17">
        <f>(bud_chauffage_S2+bud_hors_gel_S2+bud_electricite_S2)*H7*IF(AND(H$3&gt;=st_central_energie_debut,H$3&lt;=st_central_energie_fin),st_central_energie_mult,1)</f>
        <v/>
      </c>
      <c r="I13" s="17">
        <f>(bud_chauffage_S2+bud_hors_gel_S2+bud_electricite_S2)*I7*IF(AND(I$3&gt;=st_central_energie_debut,I$3&lt;=st_central_energie_fin),st_central_energie_mult,1)</f>
        <v/>
      </c>
      <c r="J13" s="17">
        <f>(bud_chauffage_S2+bud_hors_gel_S2+bud_electricite_S2)*J7*IF(AND(J$3&gt;=st_central_energie_debut,J$3&lt;=st_central_energie_fin),st_central_energie_mult,1)</f>
        <v/>
      </c>
      <c r="K13" s="17">
        <f>(bud_chauffage_S2+bud_hors_gel_S2+bud_electricite_S2)*K7*IF(AND(K$3&gt;=st_central_energie_debut,K$3&lt;=st_central_energie_fin),st_central_energie_mult,1)</f>
        <v/>
      </c>
      <c r="L13" s="17">
        <f>(bud_chauffage_S2+bud_hors_gel_S2+bud_electricite_S2)*L7*IF(AND(L$3&gt;=st_central_energie_debut,L$3&lt;=st_central_energie_fin),st_central_energie_mult,1)</f>
        <v/>
      </c>
      <c r="M13" s="17">
        <f>(bud_chauffage_S2+bud_hors_gel_S2+bud_electricite_S2)*M7*IF(AND(M$3&gt;=st_central_energie_debut,M$3&lt;=st_central_energie_fin),st_central_energie_mult,1)</f>
        <v/>
      </c>
      <c r="N13" s="17">
        <f>(bud_chauffage_S2+bud_hors_gel_S2+bud_electricite_S2)*N7*IF(AND(N$3&gt;=st_central_energie_debut,N$3&lt;=st_central_energie_fin),st_central_energie_mult,1)</f>
        <v/>
      </c>
      <c r="O13" s="17">
        <f>(bud_chauffage_S2+bud_hors_gel_S2+bud_electricite_S2)*O7*IF(AND(O$3&gt;=st_central_energie_debut,O$3&lt;=st_central_energie_fin),st_central_energie_mult,1)</f>
        <v/>
      </c>
      <c r="P13" s="17">
        <f>(bud_chauffage_S2+bud_hors_gel_S2+bud_electricite_S2)*P7*IF(AND(P$3&gt;=st_central_energie_debut,P$3&lt;=st_central_energie_fin),st_central_energie_mult,1)</f>
        <v/>
      </c>
      <c r="Q13" s="17">
        <f>(bud_chauffage_S2+bud_hors_gel_S2+bud_electricite_S2)*Q7*IF(AND(Q$3&gt;=st_central_energie_debut,Q$3&lt;=st_central_energie_fin),st_central_energie_mult,1)</f>
        <v/>
      </c>
      <c r="R13" s="17">
        <f>(bud_chauffage_S2+bud_hors_gel_S2+bud_electricite_S2)*R7*IF(AND(R$3&gt;=st_central_energie_debut,R$3&lt;=st_central_energie_fin),st_central_energie_mult,1)</f>
        <v/>
      </c>
      <c r="S13" s="17">
        <f>(bud_chauffage_S2+bud_hors_gel_S2+bud_electricite_S2)*S7*IF(AND(S$3&gt;=st_central_energie_debut,S$3&lt;=st_central_energie_fin),st_central_energie_mult,1)</f>
        <v/>
      </c>
      <c r="T13" s="17">
        <f>(bud_chauffage_S2+bud_hors_gel_S2+bud_electricite_S2)*T7*IF(AND(T$3&gt;=st_central_energie_debut,T$3&lt;=st_central_energie_fin),st_central_energie_mult,1)</f>
        <v/>
      </c>
      <c r="U13" s="17">
        <f>(bud_chauffage_S2+bud_hors_gel_S2+bud_electricite_S2)*U7*IF(AND(U$3&gt;=st_central_energie_debut,U$3&lt;=st_central_energie_fin),st_central_energie_mult,1)</f>
        <v/>
      </c>
      <c r="V13" s="17">
        <f>(bud_chauffage_S2+bud_hors_gel_S2+bud_electricite_S2)*V7*IF(AND(V$3&gt;=st_central_energie_debut,V$3&lt;=st_central_energie_fin),st_central_energie_mult,1)</f>
        <v/>
      </c>
      <c r="W13" s="17">
        <f>(bud_chauffage_S2+bud_hors_gel_S2+bud_electricite_S2)*W7*IF(AND(W$3&gt;=st_central_energie_debut,W$3&lt;=st_central_energie_fin),st_central_energie_mult,1)</f>
        <v/>
      </c>
      <c r="X13" s="17">
        <f>(bud_chauffage_S2+bud_hors_gel_S2+bud_electricite_S2)*X7*IF(AND(X$3&gt;=st_central_energie_debut,X$3&lt;=st_central_energie_fin),st_central_energie_mult,1)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IF(MOD(E$3,campagne_periode)=0,(D20+E15)*st_central_mult_campagne*(1-E11*flex_report),0)</f>
        <v/>
      </c>
      <c r="F17" s="17">
        <f>IF(MOD(F$3,campagne_periode)=0,(E20+F15)*st_central_mult_campagne*(1-F11*flex_report),0)</f>
        <v/>
      </c>
      <c r="G17" s="17">
        <f>IF(MOD(G$3,campagne_periode)=0,(F20+G15)*st_central_mult_campagne*(1-G11*flex_report),0)</f>
        <v/>
      </c>
      <c r="H17" s="17">
        <f>IF(MOD(H$3,campagne_periode)=0,(G20+H15)*st_central_mult_campagne*(1-H11*flex_report),0)</f>
        <v/>
      </c>
      <c r="I17" s="17">
        <f>IF(MOD(I$3,campagne_periode)=0,(H20+I15)*st_central_mult_campagne*(1-I11*flex_report),0)</f>
        <v/>
      </c>
      <c r="J17" s="17">
        <f>IF(MOD(J$3,campagne_periode)=0,(I20+J15)*st_central_mult_campagne*(1-J11*flex_report),0)</f>
        <v/>
      </c>
      <c r="K17" s="17">
        <f>IF(MOD(K$3,campagne_periode)=0,(J20+K15)*st_central_mult_campagne*(1-K11*flex_report),0)</f>
        <v/>
      </c>
      <c r="L17" s="17">
        <f>IF(MOD(L$3,campagne_periode)=0,(K20+L15)*st_central_mult_campagne*(1-L11*flex_report),0)</f>
        <v/>
      </c>
      <c r="M17" s="17">
        <f>IF(MOD(M$3,campagne_periode)=0,(L20+M15)*st_central_mult_campagne*(1-M11*flex_report),0)</f>
        <v/>
      </c>
      <c r="N17" s="17">
        <f>IF(MOD(N$3,campagne_periode)=0,(M20+N15)*st_central_mult_campagne*(1-N11*flex_report),0)</f>
        <v/>
      </c>
      <c r="O17" s="17">
        <f>IF(MOD(O$3,campagne_periode)=0,(N20+O15)*st_central_mult_campagne*(1-O11*flex_report),0)</f>
        <v/>
      </c>
      <c r="P17" s="17">
        <f>IF(MOD(P$3,campagne_periode)=0,(O20+P15)*st_central_mult_campagne*(1-P11*flex_report),0)</f>
        <v/>
      </c>
      <c r="Q17" s="17">
        <f>IF(MOD(Q$3,campagne_periode)=0,(P20+Q15)*st_central_mult_campagne*(1-Q11*flex_report),0)</f>
        <v/>
      </c>
      <c r="R17" s="17">
        <f>IF(MOD(R$3,campagne_periode)=0,(Q20+R15)*st_central_mult_campagne*(1-R11*flex_report),0)</f>
        <v/>
      </c>
      <c r="S17" s="17">
        <f>IF(MOD(S$3,campagne_periode)=0,(R20+S15)*st_central_mult_campagne*(1-S11*flex_report),0)</f>
        <v/>
      </c>
      <c r="T17" s="17">
        <f>IF(MOD(T$3,campagne_periode)=0,(S20+T15)*st_central_mult_campagne*(1-T11*flex_report),0)</f>
        <v/>
      </c>
      <c r="U17" s="17">
        <f>IF(MOD(U$3,campagne_periode)=0,(T20+U15)*st_central_mult_campagne*(1-U11*flex_report),0)</f>
        <v/>
      </c>
      <c r="V17" s="17">
        <f>IF(MOD(V$3,campagne_periode)=0,(U20+V15)*st_central_mult_campagne*(1-V11*flex_report),0)</f>
        <v/>
      </c>
      <c r="W17" s="17">
        <f>IF(MOD(W$3,campagne_periode)=0,(V20+W15)*st_central_mult_campagne*(1-W11*flex_report),0)</f>
        <v/>
      </c>
      <c r="X17" s="17">
        <f>IF(MOD(X$3,campagne_periode)=0,(W20+X15)*st_central_mult_campagne*(1-X11*flex_report),0)</f>
        <v/>
      </c>
    </row>
    <row r="18">
      <c r="A18" s="2" t="inlineStr">
        <is>
          <t>choc_trav</t>
        </is>
      </c>
      <c r="B18" s="2" t="inlineStr">
        <is>
          <t>Sinistre ou découverte non assurés</t>
        </is>
      </c>
      <c r="C18" s="2" t="inlineStr">
        <is>
          <t>€ 2026</t>
        </is>
      </c>
      <c r="E18" s="17">
        <f>IF(E$3=st_central_choc_trav_an,st_central_choc_trav_montant,0)</f>
        <v/>
      </c>
      <c r="F18" s="17">
        <f>IF(F$3=st_central_choc_trav_an,st_central_choc_trav_montant,0)</f>
        <v/>
      </c>
      <c r="G18" s="17">
        <f>IF(G$3=st_central_choc_trav_an,st_central_choc_trav_montant,0)</f>
        <v/>
      </c>
      <c r="H18" s="17">
        <f>IF(H$3=st_central_choc_trav_an,st_central_choc_trav_montant,0)</f>
        <v/>
      </c>
      <c r="I18" s="17">
        <f>IF(I$3=st_central_choc_trav_an,st_central_choc_trav_montant,0)</f>
        <v/>
      </c>
      <c r="J18" s="17">
        <f>IF(J$3=st_central_choc_trav_an,st_central_choc_trav_montant,0)</f>
        <v/>
      </c>
      <c r="K18" s="17">
        <f>IF(K$3=st_central_choc_trav_an,st_central_choc_trav_montant,0)</f>
        <v/>
      </c>
      <c r="L18" s="17">
        <f>IF(L$3=st_central_choc_trav_an,st_central_choc_trav_montant,0)</f>
        <v/>
      </c>
      <c r="M18" s="17">
        <f>IF(M$3=st_central_choc_trav_an,st_central_choc_trav_montant,0)</f>
        <v/>
      </c>
      <c r="N18" s="17">
        <f>IF(N$3=st_central_choc_trav_an,st_central_choc_trav_montant,0)</f>
        <v/>
      </c>
      <c r="O18" s="17">
        <f>IF(O$3=st_central_choc_trav_an,st_central_choc_trav_montant,0)</f>
        <v/>
      </c>
      <c r="P18" s="17">
        <f>IF(P$3=st_central_choc_trav_an,st_central_choc_trav_montant,0)</f>
        <v/>
      </c>
      <c r="Q18" s="17">
        <f>IF(Q$3=st_central_choc_trav_an,st_central_choc_trav_montant,0)</f>
        <v/>
      </c>
      <c r="R18" s="17">
        <f>IF(R$3=st_central_choc_trav_an,st_central_choc_trav_montant,0)</f>
        <v/>
      </c>
      <c r="S18" s="17">
        <f>IF(S$3=st_central_choc_trav_an,st_central_choc_trav_montant,0)</f>
        <v/>
      </c>
      <c r="T18" s="17">
        <f>IF(T$3=st_central_choc_trav_an,st_central_choc_trav_montant,0)</f>
        <v/>
      </c>
      <c r="U18" s="17">
        <f>IF(U$3=st_central_choc_trav_an,st_central_choc_trav_montant,0)</f>
        <v/>
      </c>
      <c r="V18" s="17">
        <f>IF(V$3=st_central_choc_trav_an,st_central_choc_trav_montant,0)</f>
        <v/>
      </c>
      <c r="W18" s="17">
        <f>IF(W$3=st_central_choc_trav_an,st_central_choc_trav_montant,0)</f>
        <v/>
      </c>
      <c r="X18" s="17">
        <f>IF(X$3=st_central_choc_trav_an,st_central_choc_trav_montant,0)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(S2_ech_log*mot_log_cn+S2_ech_stock*mot_stock_cn+S2_ech_pv*mot_pv_cn+S2_ech_bois*mot_bois_cn)*E22*E8*IF(E$3&gt;=st_central_debut_mult,st_central_mult_A,1)*IF(E10=1,1-0.05,IF(E10=2,1-0.02,1))</f>
        <v/>
      </c>
      <c r="F23" s="17">
        <f>(S2_ech_log*mot_log_cn+S2_ech_stock*mot_stock_cn+S2_ech_pv*mot_pv_cn+S2_ech_bois*mot_bois_cn)*F22*F8*IF(F$3&gt;=st_central_debut_mult,st_central_mult_A,1)*IF(F10=1,1-0.05,IF(F10=2,1-0.02,1))</f>
        <v/>
      </c>
      <c r="G23" s="17">
        <f>(S2_ech_log*mot_log_cn+S2_ech_stock*mot_stock_cn+S2_ech_pv*mot_pv_cn+S2_ech_bois*mot_bois_cn)*G22*G8*IF(G$3&gt;=st_central_debut_mult,st_central_mult_A,1)*IF(G10=1,1-0.05,IF(G10=2,1-0.02,1))</f>
        <v/>
      </c>
      <c r="H23" s="17">
        <f>(S2_ech_log*mot_log_cn+S2_ech_stock*mot_stock_cn+S2_ech_pv*mot_pv_cn+S2_ech_bois*mot_bois_cn)*H22*H8*IF(H$3&gt;=st_central_debut_mult,st_central_mult_A,1)*IF(H10=1,1-0.05,IF(H10=2,1-0.02,1))</f>
        <v/>
      </c>
      <c r="I23" s="17">
        <f>(S2_ech_log*mot_log_cn+S2_ech_stock*mot_stock_cn+S2_ech_pv*mot_pv_cn+S2_ech_bois*mot_bois_cn)*I22*I8*IF(I$3&gt;=st_central_debut_mult,st_central_mult_A,1)*IF(I10=1,1-0.05,IF(I10=2,1-0.02,1))</f>
        <v/>
      </c>
      <c r="J23" s="17">
        <f>(S2_ech_log*mot_log_cn+S2_ech_stock*mot_stock_cn+S2_ech_pv*mot_pv_cn+S2_ech_bois*mot_bois_cn)*J22*J8*IF(J$3&gt;=st_central_debut_mult,st_central_mult_A,1)*IF(J10=1,1-0.05,IF(J10=2,1-0.02,1))</f>
        <v/>
      </c>
      <c r="K23" s="17">
        <f>(S2_ech_log*mot_log_cn+S2_ech_stock*mot_stock_cn+S2_ech_pv*mot_pv_cn+S2_ech_bois*mot_bois_cn)*K22*K8*IF(K$3&gt;=st_central_debut_mult,st_central_mult_A,1)*IF(K10=1,1-0.05,IF(K10=2,1-0.02,1))</f>
        <v/>
      </c>
      <c r="L23" s="17">
        <f>(S2_ech_log*mot_log_cn+S2_ech_stock*mot_stock_cn+S2_ech_pv*mot_pv_cn+S2_ech_bois*mot_bois_cn)*L22*L8*IF(L$3&gt;=st_central_debut_mult,st_central_mult_A,1)*IF(L10=1,1-0.05,IF(L10=2,1-0.02,1))</f>
        <v/>
      </c>
      <c r="M23" s="17">
        <f>(S2_ech_log*mot_log_cn+S2_ech_stock*mot_stock_cn+S2_ech_pv*mot_pv_cn+S2_ech_bois*mot_bois_cn)*M22*M8*IF(M$3&gt;=st_central_debut_mult,st_central_mult_A,1)*IF(M10=1,1-0.05,IF(M10=2,1-0.02,1))</f>
        <v/>
      </c>
      <c r="N23" s="17">
        <f>(S2_ech_log*mot_log_cn+S2_ech_stock*mot_stock_cn+S2_ech_pv*mot_pv_cn+S2_ech_bois*mot_bois_cn)*N22*N8*IF(N$3&gt;=st_central_debut_mult,st_central_mult_A,1)*IF(N10=1,1-0.05,IF(N10=2,1-0.02,1))</f>
        <v/>
      </c>
      <c r="O23" s="17">
        <f>(S2_ech_log*mot_log_cn+S2_ech_stock*mot_stock_cn+S2_ech_pv*mot_pv_cn+S2_ech_bois*mot_bois_cn)*O22*O8*IF(O$3&gt;=st_central_debut_mult,st_central_mult_A,1)*IF(O10=1,1-0.05,IF(O10=2,1-0.02,1))</f>
        <v/>
      </c>
      <c r="P23" s="17">
        <f>(S2_ech_log*mot_log_cn+S2_ech_stock*mot_stock_cn+S2_ech_pv*mot_pv_cn+S2_ech_bois*mot_bois_cn)*P22*P8*IF(P$3&gt;=st_central_debut_mult,st_central_mult_A,1)*IF(P10=1,1-0.05,IF(P10=2,1-0.02,1))</f>
        <v/>
      </c>
      <c r="Q23" s="17">
        <f>(S2_ech_log*mot_log_cn+S2_ech_stock*mot_stock_cn+S2_ech_pv*mot_pv_cn+S2_ech_bois*mot_bois_cn)*Q22*Q8*IF(Q$3&gt;=st_central_debut_mult,st_central_mult_A,1)*IF(Q10=1,1-0.05,IF(Q10=2,1-0.02,1))</f>
        <v/>
      </c>
      <c r="R23" s="17">
        <f>(S2_ech_log*mot_log_cn+S2_ech_stock*mot_stock_cn+S2_ech_pv*mot_pv_cn+S2_ech_bois*mot_bois_cn)*R22*R8*IF(R$3&gt;=st_central_debut_mult,st_central_mult_A,1)*IF(R10=1,1-0.05,IF(R10=2,1-0.02,1))</f>
        <v/>
      </c>
      <c r="S23" s="17">
        <f>(S2_ech_log*mot_log_cn+S2_ech_stock*mot_stock_cn+S2_ech_pv*mot_pv_cn+S2_ech_bois*mot_bois_cn)*S22*S8*IF(S$3&gt;=st_central_debut_mult,st_central_mult_A,1)*IF(S10=1,1-0.05,IF(S10=2,1-0.02,1))</f>
        <v/>
      </c>
      <c r="T23" s="17">
        <f>(S2_ech_log*mot_log_cn+S2_ech_stock*mot_stock_cn+S2_ech_pv*mot_pv_cn+S2_ech_bois*mot_bois_cn)*T22*T8*IF(T$3&gt;=st_central_debut_mult,st_central_mult_A,1)*IF(T10=1,1-0.05,IF(T10=2,1-0.02,1))</f>
        <v/>
      </c>
      <c r="U23" s="17">
        <f>(S2_ech_log*mot_log_cn+S2_ech_stock*mot_stock_cn+S2_ech_pv*mot_pv_cn+S2_ech_bois*mot_bois_cn)*U22*U8*IF(U$3&gt;=st_central_debut_mult,st_central_mult_A,1)*IF(U10=1,1-0.05,IF(U10=2,1-0.02,1))</f>
        <v/>
      </c>
      <c r="V23" s="17">
        <f>(S2_ech_log*mot_log_cn+S2_ech_stock*mot_stock_cn+S2_ech_pv*mot_pv_cn+S2_ech_bois*mot_bois_cn)*V22*V8*IF(V$3&gt;=st_central_debut_mult,st_central_mult_A,1)*IF(V10=1,1-0.05,IF(V10=2,1-0.02,1))</f>
        <v/>
      </c>
      <c r="W23" s="17">
        <f>(S2_ech_log*mot_log_cn+S2_ech_stock*mot_stock_cn+S2_ech_pv*mot_pv_cn+S2_ech_bois*mot_bois_cn)*W22*W8*IF(W$3&gt;=st_central_debut_mult,st_central_mult_A,1)*IF(W10=1,1-0.05,IF(W10=2,1-0.02,1))</f>
        <v/>
      </c>
      <c r="X23" s="17">
        <f>(S2_ech_log*mot_log_cn+S2_ech_stock*mot_stock_cn+S2_ech_pv*mot_pv_cn+S2_ech_bois*mot_bois_cn)*X22*X8*IF(X$3&gt;=st_central_debut_mult,st_central_mult_A,1)*IF(X10=1,1-0.05,IF(X10=2,1-0.02,1))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(S2_ech_eq_std*mot_eq_std_cn+S2_ech_eq_ret*mot_eq_ret_cn)*E22*E8*IF(E$3&gt;=st_central_debut_mult,st_central_mult_B,1)*IF(E10=1,1-0.15,IF(E10=2,1-0.05,1))</f>
        <v/>
      </c>
      <c r="F24" s="17">
        <f>(S2_ech_eq_std*mot_eq_std_cn+S2_ech_eq_ret*mot_eq_ret_cn)*F22*F8*IF(F$3&gt;=st_central_debut_mult,st_central_mult_B,1)*IF(F10=1,1-0.15,IF(F10=2,1-0.05,1))</f>
        <v/>
      </c>
      <c r="G24" s="17">
        <f>(S2_ech_eq_std*mot_eq_std_cn+S2_ech_eq_ret*mot_eq_ret_cn)*G22*G8*IF(G$3&gt;=st_central_debut_mult,st_central_mult_B,1)*IF(G10=1,1-0.15,IF(G10=2,1-0.05,1))</f>
        <v/>
      </c>
      <c r="H24" s="17">
        <f>(S2_ech_eq_std*mot_eq_std_cn+S2_ech_eq_ret*mot_eq_ret_cn)*H22*H8*IF(H$3&gt;=st_central_debut_mult,st_central_mult_B,1)*IF(H10=1,1-0.15,IF(H10=2,1-0.05,1))</f>
        <v/>
      </c>
      <c r="I24" s="17">
        <f>(S2_ech_eq_std*mot_eq_std_cn+S2_ech_eq_ret*mot_eq_ret_cn)*I22*I8*IF(I$3&gt;=st_central_debut_mult,st_central_mult_B,1)*IF(I10=1,1-0.15,IF(I10=2,1-0.05,1))</f>
        <v/>
      </c>
      <c r="J24" s="17">
        <f>(S2_ech_eq_std*mot_eq_std_cn+S2_ech_eq_ret*mot_eq_ret_cn)*J22*J8*IF(J$3&gt;=st_central_debut_mult,st_central_mult_B,1)*IF(J10=1,1-0.15,IF(J10=2,1-0.05,1))</f>
        <v/>
      </c>
      <c r="K24" s="17">
        <f>(S2_ech_eq_std*mot_eq_std_cn+S2_ech_eq_ret*mot_eq_ret_cn)*K22*K8*IF(K$3&gt;=st_central_debut_mult,st_central_mult_B,1)*IF(K10=1,1-0.15,IF(K10=2,1-0.05,1))</f>
        <v/>
      </c>
      <c r="L24" s="17">
        <f>(S2_ech_eq_std*mot_eq_std_cn+S2_ech_eq_ret*mot_eq_ret_cn)*L22*L8*IF(L$3&gt;=st_central_debut_mult,st_central_mult_B,1)*IF(L10=1,1-0.15,IF(L10=2,1-0.05,1))</f>
        <v/>
      </c>
      <c r="M24" s="17">
        <f>(S2_ech_eq_std*mot_eq_std_cn+S2_ech_eq_ret*mot_eq_ret_cn)*M22*M8*IF(M$3&gt;=st_central_debut_mult,st_central_mult_B,1)*IF(M10=1,1-0.15,IF(M10=2,1-0.05,1))</f>
        <v/>
      </c>
      <c r="N24" s="17">
        <f>(S2_ech_eq_std*mot_eq_std_cn+S2_ech_eq_ret*mot_eq_ret_cn)*N22*N8*IF(N$3&gt;=st_central_debut_mult,st_central_mult_B,1)*IF(N10=1,1-0.15,IF(N10=2,1-0.05,1))</f>
        <v/>
      </c>
      <c r="O24" s="17">
        <f>(S2_ech_eq_std*mot_eq_std_cn+S2_ech_eq_ret*mot_eq_ret_cn)*O22*O8*IF(O$3&gt;=st_central_debut_mult,st_central_mult_B,1)*IF(O10=1,1-0.15,IF(O10=2,1-0.05,1))</f>
        <v/>
      </c>
      <c r="P24" s="17">
        <f>(S2_ech_eq_std*mot_eq_std_cn+S2_ech_eq_ret*mot_eq_ret_cn)*P22*P8*IF(P$3&gt;=st_central_debut_mult,st_central_mult_B,1)*IF(P10=1,1-0.15,IF(P10=2,1-0.05,1))</f>
        <v/>
      </c>
      <c r="Q24" s="17">
        <f>(S2_ech_eq_std*mot_eq_std_cn+S2_ech_eq_ret*mot_eq_ret_cn)*Q22*Q8*IF(Q$3&gt;=st_central_debut_mult,st_central_mult_B,1)*IF(Q10=1,1-0.15,IF(Q10=2,1-0.05,1))</f>
        <v/>
      </c>
      <c r="R24" s="17">
        <f>(S2_ech_eq_std*mot_eq_std_cn+S2_ech_eq_ret*mot_eq_ret_cn)*R22*R8*IF(R$3&gt;=st_central_debut_mult,st_central_mult_B,1)*IF(R10=1,1-0.15,IF(R10=2,1-0.05,1))</f>
        <v/>
      </c>
      <c r="S24" s="17">
        <f>(S2_ech_eq_std*mot_eq_std_cn+S2_ech_eq_ret*mot_eq_ret_cn)*S22*S8*IF(S$3&gt;=st_central_debut_mult,st_central_mult_B,1)*IF(S10=1,1-0.15,IF(S10=2,1-0.05,1))</f>
        <v/>
      </c>
      <c r="T24" s="17">
        <f>(S2_ech_eq_std*mot_eq_std_cn+S2_ech_eq_ret*mot_eq_ret_cn)*T22*T8*IF(T$3&gt;=st_central_debut_mult,st_central_mult_B,1)*IF(T10=1,1-0.15,IF(T10=2,1-0.05,1))</f>
        <v/>
      </c>
      <c r="U24" s="17">
        <f>(S2_ech_eq_std*mot_eq_std_cn+S2_ech_eq_ret*mot_eq_ret_cn)*U22*U8*IF(U$3&gt;=st_central_debut_mult,st_central_mult_B,1)*IF(U10=1,1-0.15,IF(U10=2,1-0.05,1))</f>
        <v/>
      </c>
      <c r="V24" s="17">
        <f>(S2_ech_eq_std*mot_eq_std_cn+S2_ech_eq_ret*mot_eq_ret_cn)*V22*V8*IF(V$3&gt;=st_central_debut_mult,st_central_mult_B,1)*IF(V10=1,1-0.15,IF(V10=2,1-0.05,1))</f>
        <v/>
      </c>
      <c r="W24" s="17">
        <f>(S2_ech_eq_std*mot_eq_std_cn+S2_ech_eq_ret*mot_eq_ret_cn)*W22*W8*IF(W$3&gt;=st_central_debut_mult,st_central_mult_B,1)*IF(W10=1,1-0.15,IF(W10=2,1-0.05,1))</f>
        <v/>
      </c>
      <c r="X24" s="17">
        <f>(S2_ech_eq_std*mot_eq_std_cn+S2_ech_eq_ret*mot_eq_ret_cn)*X22*X8*IF(X$3&gt;=st_central_debut_mult,st_central_mult_B,1)*IF(X10=1,1-0.15,IF(X10=2,1-0.05,1))</f>
        <v/>
      </c>
    </row>
    <row r="25">
      <c r="A25" s="2" t="inlineStr">
        <is>
          <t>act_C</t>
        </is>
      </c>
      <c r="B25" s="2" t="inlineStr">
        <is>
          <t>Contribution des activités occasionnelles (classe C)</t>
        </is>
      </c>
      <c r="C25" s="2" t="inlineStr">
        <is>
          <t>€ 2026</t>
        </is>
      </c>
      <c r="E25" s="17">
        <f>(S2_ech_tourn*mot_tourn_cn)*E22*E8*IF(E$3&gt;=st_central_debut_mult,st_central_mult_C,1)*IF(E10=1,1-0.8,IF(E10=2,1-0.3,1))</f>
        <v/>
      </c>
      <c r="F25" s="17">
        <f>(S2_ech_tourn*mot_tourn_cn)*F22*F8*IF(F$3&gt;=st_central_debut_mult,st_central_mult_C,1)*IF(F10=1,1-0.8,IF(F10=2,1-0.3,1))</f>
        <v/>
      </c>
      <c r="G25" s="17">
        <f>(S2_ech_tourn*mot_tourn_cn)*G22*G8*IF(G$3&gt;=st_central_debut_mult,st_central_mult_C,1)*IF(G10=1,1-0.8,IF(G10=2,1-0.3,1))</f>
        <v/>
      </c>
      <c r="H25" s="17">
        <f>(S2_ech_tourn*mot_tourn_cn)*H22*H8*IF(H$3&gt;=st_central_debut_mult,st_central_mult_C,1)*IF(H10=1,1-0.8,IF(H10=2,1-0.3,1))</f>
        <v/>
      </c>
      <c r="I25" s="17">
        <f>(S2_ech_tourn*mot_tourn_cn)*I22*I8*IF(I$3&gt;=st_central_debut_mult,st_central_mult_C,1)*IF(I10=1,1-0.8,IF(I10=2,1-0.3,1))</f>
        <v/>
      </c>
      <c r="J25" s="17">
        <f>(S2_ech_tourn*mot_tourn_cn)*J22*J8*IF(J$3&gt;=st_central_debut_mult,st_central_mult_C,1)*IF(J10=1,1-0.8,IF(J10=2,1-0.3,1))</f>
        <v/>
      </c>
      <c r="K25" s="17">
        <f>(S2_ech_tourn*mot_tourn_cn)*K22*K8*IF(K$3&gt;=st_central_debut_mult,st_central_mult_C,1)*IF(K10=1,1-0.8,IF(K10=2,1-0.3,1))</f>
        <v/>
      </c>
      <c r="L25" s="17">
        <f>(S2_ech_tourn*mot_tourn_cn)*L22*L8*IF(L$3&gt;=st_central_debut_mult,st_central_mult_C,1)*IF(L10=1,1-0.8,IF(L10=2,1-0.3,1))</f>
        <v/>
      </c>
      <c r="M25" s="17">
        <f>(S2_ech_tourn*mot_tourn_cn)*M22*M8*IF(M$3&gt;=st_central_debut_mult,st_central_mult_C,1)*IF(M10=1,1-0.8,IF(M10=2,1-0.3,1))</f>
        <v/>
      </c>
      <c r="N25" s="17">
        <f>(S2_ech_tourn*mot_tourn_cn)*N22*N8*IF(N$3&gt;=st_central_debut_mult,st_central_mult_C,1)*IF(N10=1,1-0.8,IF(N10=2,1-0.3,1))</f>
        <v/>
      </c>
      <c r="O25" s="17">
        <f>(S2_ech_tourn*mot_tourn_cn)*O22*O8*IF(O$3&gt;=st_central_debut_mult,st_central_mult_C,1)*IF(O10=1,1-0.8,IF(O10=2,1-0.3,1))</f>
        <v/>
      </c>
      <c r="P25" s="17">
        <f>(S2_ech_tourn*mot_tourn_cn)*P22*P8*IF(P$3&gt;=st_central_debut_mult,st_central_mult_C,1)*IF(P10=1,1-0.8,IF(P10=2,1-0.3,1))</f>
        <v/>
      </c>
      <c r="Q25" s="17">
        <f>(S2_ech_tourn*mot_tourn_cn)*Q22*Q8*IF(Q$3&gt;=st_central_debut_mult,st_central_mult_C,1)*IF(Q10=1,1-0.8,IF(Q10=2,1-0.3,1))</f>
        <v/>
      </c>
      <c r="R25" s="17">
        <f>(S2_ech_tourn*mot_tourn_cn)*R22*R8*IF(R$3&gt;=st_central_debut_mult,st_central_mult_C,1)*IF(R10=1,1-0.8,IF(R10=2,1-0.3,1))</f>
        <v/>
      </c>
      <c r="S25" s="17">
        <f>(S2_ech_tourn*mot_tourn_cn)*S22*S8*IF(S$3&gt;=st_central_debut_mult,st_central_mult_C,1)*IF(S10=1,1-0.8,IF(S10=2,1-0.3,1))</f>
        <v/>
      </c>
      <c r="T25" s="17">
        <f>(S2_ech_tourn*mot_tourn_cn)*T22*T8*IF(T$3&gt;=st_central_debut_mult,st_central_mult_C,1)*IF(T10=1,1-0.8,IF(T10=2,1-0.3,1))</f>
        <v/>
      </c>
      <c r="U25" s="17">
        <f>(S2_ech_tourn*mot_tourn_cn)*U22*U8*IF(U$3&gt;=st_central_debut_mult,st_central_mult_C,1)*IF(U10=1,1-0.8,IF(U10=2,1-0.3,1))</f>
        <v/>
      </c>
      <c r="V25" s="17">
        <f>(S2_ech_tourn*mot_tourn_cn)*V22*V8*IF(V$3&gt;=st_central_debut_mult,st_central_mult_C,1)*IF(V10=1,1-0.8,IF(V10=2,1-0.3,1))</f>
        <v/>
      </c>
      <c r="W25" s="17">
        <f>(S2_ech_tourn*mot_tourn_cn)*W22*W8*IF(W$3&gt;=st_central_debut_mult,st_central_mult_C,1)*IF(W10=1,1-0.8,IF(W10=2,1-0.3,1))</f>
        <v/>
      </c>
      <c r="X25" s="17">
        <f>(S2_ech_tourn*mot_tourn_cn)*X22*X8*IF(X$3&gt;=st_central_debut_mult,st_central_mult_C,1)*IF(X10=1,1-0.8,IF(X10=2,1-0.3,1))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IF(AND(E$3&lt;=0,E$3&lt;=st_central_div_fin),0*IF(E10=1,0.5,1),0)</f>
        <v/>
      </c>
      <c r="F33" s="17">
        <f>IF(AND(F$3&lt;=0,F$3&lt;=st_central_div_fin),0*IF(F10=1,0.5,1),0)</f>
        <v/>
      </c>
      <c r="G33" s="17">
        <f>IF(AND(G$3&lt;=0,G$3&lt;=st_central_div_fin),0*IF(G10=1,0.5,1),0)</f>
        <v/>
      </c>
      <c r="H33" s="17">
        <f>IF(AND(H$3&lt;=0,H$3&lt;=st_central_div_fin),0*IF(H10=1,0.5,1),0)</f>
        <v/>
      </c>
      <c r="I33" s="17">
        <f>IF(AND(I$3&lt;=0,I$3&lt;=st_central_div_fin),0*IF(I10=1,0.5,1),0)</f>
        <v/>
      </c>
      <c r="J33" s="17">
        <f>IF(AND(J$3&lt;=0,J$3&lt;=st_central_div_fin),0*IF(J10=1,0.5,1),0)</f>
        <v/>
      </c>
      <c r="K33" s="17">
        <f>IF(AND(K$3&lt;=0,K$3&lt;=st_central_div_fin),0*IF(K10=1,0.5,1),0)</f>
        <v/>
      </c>
      <c r="L33" s="17">
        <f>IF(AND(L$3&lt;=0,L$3&lt;=st_central_div_fin),0*IF(L10=1,0.5,1),0)</f>
        <v/>
      </c>
      <c r="M33" s="17">
        <f>IF(AND(M$3&lt;=0,M$3&lt;=st_central_div_fin),0*IF(M10=1,0.5,1),0)</f>
        <v/>
      </c>
      <c r="N33" s="17">
        <f>IF(AND(N$3&lt;=0,N$3&lt;=st_central_div_fin),0*IF(N10=1,0.5,1),0)</f>
        <v/>
      </c>
      <c r="O33" s="17">
        <f>IF(AND(O$3&lt;=0,O$3&lt;=st_central_div_fin),0*IF(O10=1,0.5,1),0)</f>
        <v/>
      </c>
      <c r="P33" s="17">
        <f>IF(AND(P$3&lt;=0,P$3&lt;=st_central_div_fin),0*IF(P10=1,0.5,1),0)</f>
        <v/>
      </c>
      <c r="Q33" s="17">
        <f>IF(AND(Q$3&lt;=0,Q$3&lt;=st_central_div_fin),0*IF(Q10=1,0.5,1),0)</f>
        <v/>
      </c>
      <c r="R33" s="17">
        <f>IF(AND(R$3&lt;=0,R$3&lt;=st_central_div_fin),0*IF(R10=1,0.5,1),0)</f>
        <v/>
      </c>
      <c r="S33" s="17">
        <f>IF(AND(S$3&lt;=0,S$3&lt;=st_central_div_fin),0*IF(S10=1,0.5,1),0)</f>
        <v/>
      </c>
      <c r="T33" s="17">
        <f>IF(AND(T$3&lt;=0,T$3&lt;=st_central_div_fin),0*IF(T10=1,0.5,1),0)</f>
        <v/>
      </c>
      <c r="U33" s="17">
        <f>IF(AND(U$3&lt;=0,U$3&lt;=st_central_div_fin),0*IF(U10=1,0.5,1),0)</f>
        <v/>
      </c>
      <c r="V33" s="17">
        <f>IF(AND(V$3&lt;=0,V$3&lt;=st_central_div_fin),0*IF(V10=1,0.5,1),0)</f>
        <v/>
      </c>
      <c r="W33" s="17">
        <f>IF(AND(W$3&lt;=0,W$3&lt;=st_central_div_fin),0*IF(W10=1,0.5,1),0)</f>
        <v/>
      </c>
      <c r="X33" s="17">
        <f>IF(AND(X$3&lt;=0,X$3&lt;=st_central_div_fin),0*IF(X10=1,0.5,1),0)</f>
        <v/>
      </c>
    </row>
    <row r="34">
      <c r="A34" s="2" t="inlineStr">
        <is>
          <t>rdt_dot</t>
        </is>
      </c>
      <c r="B34" s="2" t="inlineStr">
        <is>
          <t>Rendement réel de la dotation de l'année</t>
        </is>
      </c>
      <c r="C34" s="2" t="inlineStr">
        <is>
          <t>%</t>
        </is>
      </c>
      <c r="E34" s="20">
        <f>dot_rendement+st_central_dot_rdt_delta+IF(E10=1,-0.25,0)</f>
        <v/>
      </c>
      <c r="F34" s="20">
        <f>dot_rendement+st_central_dot_rdt_delta+IF(F10=1,-0.25,0)</f>
        <v/>
      </c>
      <c r="G34" s="20">
        <f>dot_rendement+st_central_dot_rdt_delta+IF(G10=1,-0.25,0)</f>
        <v/>
      </c>
      <c r="H34" s="20">
        <f>dot_rendement+st_central_dot_rdt_delta+IF(H10=1,-0.25,0)</f>
        <v/>
      </c>
      <c r="I34" s="20">
        <f>dot_rendement+st_central_dot_rdt_delta+IF(I10=1,-0.25,0)</f>
        <v/>
      </c>
      <c r="J34" s="20">
        <f>dot_rendement+st_central_dot_rdt_delta+IF(J10=1,-0.25,0)</f>
        <v/>
      </c>
      <c r="K34" s="20">
        <f>dot_rendement+st_central_dot_rdt_delta+IF(K10=1,-0.25,0)</f>
        <v/>
      </c>
      <c r="L34" s="20">
        <f>dot_rendement+st_central_dot_rdt_delta+IF(L10=1,-0.25,0)</f>
        <v/>
      </c>
      <c r="M34" s="20">
        <f>dot_rendement+st_central_dot_rdt_delta+IF(M10=1,-0.25,0)</f>
        <v/>
      </c>
      <c r="N34" s="20">
        <f>dot_rendement+st_central_dot_rdt_delta+IF(N10=1,-0.25,0)</f>
        <v/>
      </c>
      <c r="O34" s="20">
        <f>dot_rendement+st_central_dot_rdt_delta+IF(O10=1,-0.25,0)</f>
        <v/>
      </c>
      <c r="P34" s="20">
        <f>dot_rendement+st_central_dot_rdt_delta+IF(P10=1,-0.25,0)</f>
        <v/>
      </c>
      <c r="Q34" s="20">
        <f>dot_rendement+st_central_dot_rdt_delta+IF(Q10=1,-0.25,0)</f>
        <v/>
      </c>
      <c r="R34" s="20">
        <f>dot_rendement+st_central_dot_rdt_delta+IF(R10=1,-0.25,0)</f>
        <v/>
      </c>
      <c r="S34" s="20">
        <f>dot_rendement+st_central_dot_rdt_delta+IF(S10=1,-0.25,0)</f>
        <v/>
      </c>
      <c r="T34" s="20">
        <f>dot_rendement+st_central_dot_rdt_delta+IF(T10=1,-0.25,0)</f>
        <v/>
      </c>
      <c r="U34" s="20">
        <f>dot_rendement+st_central_dot_rdt_delta+IF(U10=1,-0.25,0)</f>
        <v/>
      </c>
      <c r="V34" s="20">
        <f>dot_rendement+st_central_dot_rdt_delta+IF(V10=1,-0.25,0)</f>
        <v/>
      </c>
      <c r="W34" s="20">
        <f>dot_rendement+st_central_dot_rdt_delta+IF(W10=1,-0.25,0)</f>
        <v/>
      </c>
      <c r="X34" s="20">
        <f>dot_rendement+st_central_dot_rdt_delta+IF(X10=1,-0.25,0)</f>
        <v/>
      </c>
    </row>
    <row r="35">
      <c r="A35" s="2" t="inlineStr">
        <is>
          <t>plafond</t>
        </is>
      </c>
      <c r="B35" s="2" t="inlineStr">
        <is>
          <t>Plafond de retrait de la règle de dépense lissée</t>
        </is>
      </c>
      <c r="C35" s="2" t="inlineStr">
        <is>
          <t>€ 2026</t>
        </is>
      </c>
      <c r="D35" s="17">
        <f>dot_taux_net*0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projection centrale</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D5*(1+g_salaires+st_central_g_sal_extra)</f>
        <v/>
      </c>
      <c r="F5" s="21">
        <f>E5*(1+g_salaires+st_central_g_sal_extra)</f>
        <v/>
      </c>
      <c r="G5" s="21">
        <f>F5*(1+g_salaires+st_central_g_sal_extra)</f>
        <v/>
      </c>
      <c r="H5" s="21">
        <f>G5*(1+g_salaires+st_central_g_sal_extra)</f>
        <v/>
      </c>
      <c r="I5" s="21">
        <f>H5*(1+g_salaires+st_central_g_sal_extra)</f>
        <v/>
      </c>
      <c r="J5" s="21">
        <f>I5*(1+g_salaires+st_central_g_sal_extra)</f>
        <v/>
      </c>
      <c r="K5" s="21">
        <f>J5*(1+g_salaires+st_central_g_sal_extra)</f>
        <v/>
      </c>
      <c r="L5" s="21">
        <f>K5*(1+g_salaires+st_central_g_sal_extra)</f>
        <v/>
      </c>
      <c r="M5" s="21">
        <f>L5*(1+g_salaires+st_central_g_sal_extra)</f>
        <v/>
      </c>
      <c r="N5" s="21">
        <f>M5*(1+g_salaires+st_central_g_sal_extra)</f>
        <v/>
      </c>
      <c r="O5" s="21">
        <f>N5*(1+g_salaires+st_central_g_sal_extra)</f>
        <v/>
      </c>
      <c r="P5" s="21">
        <f>O5*(1+g_salaires+st_central_g_sal_extra)</f>
        <v/>
      </c>
      <c r="Q5" s="21">
        <f>P5*(1+g_salaires+st_central_g_sal_extra)</f>
        <v/>
      </c>
      <c r="R5" s="21">
        <f>Q5*(1+g_salaires+st_central_g_sal_extra)</f>
        <v/>
      </c>
      <c r="S5" s="21">
        <f>R5*(1+g_salaires+st_central_g_sal_extra)</f>
        <v/>
      </c>
      <c r="T5" s="21">
        <f>S5*(1+g_salaires+st_central_g_sal_extra)</f>
        <v/>
      </c>
      <c r="U5" s="21">
        <f>T5*(1+g_salaires+st_central_g_sal_extra)</f>
        <v/>
      </c>
      <c r="V5" s="21">
        <f>U5*(1+g_salaires+st_central_g_sal_extra)</f>
        <v/>
      </c>
      <c r="W5" s="21">
        <f>V5*(1+g_salaires+st_central_g_sal_extra)</f>
        <v/>
      </c>
      <c r="X5" s="21">
        <f>W5*(1+g_salaires+st_central_g_sal_extra)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IF(st_central_crise_an&gt;0,IF(E$3=st_central_crise_an,1,IF(E$3=st_central_crise_an+1,2,0)),0)</f>
        <v/>
      </c>
      <c r="F10" s="21">
        <f>IF(st_central_crise_an&gt;0,IF(F$3=st_central_crise_an,1,IF(F$3=st_central_crise_an+1,2,0)),0)</f>
        <v/>
      </c>
      <c r="G10" s="21">
        <f>IF(st_central_crise_an&gt;0,IF(G$3=st_central_crise_an,1,IF(G$3=st_central_crise_an+1,2,0)),0)</f>
        <v/>
      </c>
      <c r="H10" s="21">
        <f>IF(st_central_crise_an&gt;0,IF(H$3=st_central_crise_an,1,IF(H$3=st_central_crise_an+1,2,0)),0)</f>
        <v/>
      </c>
      <c r="I10" s="21">
        <f>IF(st_central_crise_an&gt;0,IF(I$3=st_central_crise_an,1,IF(I$3=st_central_crise_an+1,2,0)),0)</f>
        <v/>
      </c>
      <c r="J10" s="21">
        <f>IF(st_central_crise_an&gt;0,IF(J$3=st_central_crise_an,1,IF(J$3=st_central_crise_an+1,2,0)),0)</f>
        <v/>
      </c>
      <c r="K10" s="21">
        <f>IF(st_central_crise_an&gt;0,IF(K$3=st_central_crise_an,1,IF(K$3=st_central_crise_an+1,2,0)),0)</f>
        <v/>
      </c>
      <c r="L10" s="21">
        <f>IF(st_central_crise_an&gt;0,IF(L$3=st_central_crise_an,1,IF(L$3=st_central_crise_an+1,2,0)),0)</f>
        <v/>
      </c>
      <c r="M10" s="21">
        <f>IF(st_central_crise_an&gt;0,IF(M$3=st_central_crise_an,1,IF(M$3=st_central_crise_an+1,2,0)),0)</f>
        <v/>
      </c>
      <c r="N10" s="21">
        <f>IF(st_central_crise_an&gt;0,IF(N$3=st_central_crise_an,1,IF(N$3=st_central_crise_an+1,2,0)),0)</f>
        <v/>
      </c>
      <c r="O10" s="21">
        <f>IF(st_central_crise_an&gt;0,IF(O$3=st_central_crise_an,1,IF(O$3=st_central_crise_an+1,2,0)),0)</f>
        <v/>
      </c>
      <c r="P10" s="21">
        <f>IF(st_central_crise_an&gt;0,IF(P$3=st_central_crise_an,1,IF(P$3=st_central_crise_an+1,2,0)),0)</f>
        <v/>
      </c>
      <c r="Q10" s="21">
        <f>IF(st_central_crise_an&gt;0,IF(Q$3=st_central_crise_an,1,IF(Q$3=st_central_crise_an+1,2,0)),0)</f>
        <v/>
      </c>
      <c r="R10" s="21">
        <f>IF(st_central_crise_an&gt;0,IF(R$3=st_central_crise_an,1,IF(R$3=st_central_crise_an+1,2,0)),0)</f>
        <v/>
      </c>
      <c r="S10" s="21">
        <f>IF(st_central_crise_an&gt;0,IF(S$3=st_central_crise_an,1,IF(S$3=st_central_crise_an+1,2,0)),0)</f>
        <v/>
      </c>
      <c r="T10" s="21">
        <f>IF(st_central_crise_an&gt;0,IF(T$3=st_central_crise_an,1,IF(T$3=st_central_crise_an+1,2,0)),0)</f>
        <v/>
      </c>
      <c r="U10" s="21">
        <f>IF(st_central_crise_an&gt;0,IF(U$3=st_central_crise_an,1,IF(U$3=st_central_crise_an+1,2,0)),0)</f>
        <v/>
      </c>
      <c r="V10" s="21">
        <f>IF(st_central_crise_an&gt;0,IF(V$3=st_central_crise_an,1,IF(V$3=st_central_crise_an+1,2,0)),0)</f>
        <v/>
      </c>
      <c r="W10" s="21">
        <f>IF(st_central_crise_an&gt;0,IF(W$3=st_central_crise_an,1,IF(W$3=st_central_crise_an+1,2,0)),0)</f>
        <v/>
      </c>
      <c r="X10" s="21">
        <f>IF(st_central_crise_an&gt;0,IF(X$3=st_central_crise_an,1,IF(X$3=st_central_crise_an+1,2,0)),0)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(bud_chauffage_S2+bud_hors_gel_S2+bud_electricite_S2)*E7*IF(AND(E$3&gt;=st_central_energie_debut,E$3&lt;=st_central_energie_fin),st_central_energie_mult,1)</f>
        <v/>
      </c>
      <c r="F13" s="17">
        <f>(bud_chauffage_S2+bud_hors_gel_S2+bud_electricite_S2)*F7*IF(AND(F$3&gt;=st_central_energie_debut,F$3&lt;=st_central_energie_fin),st_central_energie_mult,1)</f>
        <v/>
      </c>
      <c r="G13" s="17">
        <f>(bud_chauffage_S2+bud_hors_gel_S2+bud_electricite_S2)*G7*IF(AND(G$3&gt;=st_central_energie_debut,G$3&lt;=st_central_energie_fin),st_central_energie_mult,1)</f>
        <v/>
      </c>
      <c r="H13" s="17">
        <f>(bud_chauffage_S2+bud_hors_gel_S2+bud_electricite_S2)*H7*IF(AND(H$3&gt;=st_central_energie_debut,H$3&lt;=st_central_energie_fin),st_central_energie_mult,1)</f>
        <v/>
      </c>
      <c r="I13" s="17">
        <f>(bud_chauffage_S2+bud_hors_gel_S2+bud_electricite_S2)*I7*IF(AND(I$3&gt;=st_central_energie_debut,I$3&lt;=st_central_energie_fin),st_central_energie_mult,1)</f>
        <v/>
      </c>
      <c r="J13" s="17">
        <f>(bud_chauffage_S2+bud_hors_gel_S2+bud_electricite_S2)*J7*IF(AND(J$3&gt;=st_central_energie_debut,J$3&lt;=st_central_energie_fin),st_central_energie_mult,1)</f>
        <v/>
      </c>
      <c r="K13" s="17">
        <f>(bud_chauffage_S2+bud_hors_gel_S2+bud_electricite_S2)*K7*IF(AND(K$3&gt;=st_central_energie_debut,K$3&lt;=st_central_energie_fin),st_central_energie_mult,1)</f>
        <v/>
      </c>
      <c r="L13" s="17">
        <f>(bud_chauffage_S2+bud_hors_gel_S2+bud_electricite_S2)*L7*IF(AND(L$3&gt;=st_central_energie_debut,L$3&lt;=st_central_energie_fin),st_central_energie_mult,1)</f>
        <v/>
      </c>
      <c r="M13" s="17">
        <f>(bud_chauffage_S2+bud_hors_gel_S2+bud_electricite_S2)*M7*IF(AND(M$3&gt;=st_central_energie_debut,M$3&lt;=st_central_energie_fin),st_central_energie_mult,1)</f>
        <v/>
      </c>
      <c r="N13" s="17">
        <f>(bud_chauffage_S2+bud_hors_gel_S2+bud_electricite_S2)*N7*IF(AND(N$3&gt;=st_central_energie_debut,N$3&lt;=st_central_energie_fin),st_central_energie_mult,1)</f>
        <v/>
      </c>
      <c r="O13" s="17">
        <f>(bud_chauffage_S2+bud_hors_gel_S2+bud_electricite_S2)*O7*IF(AND(O$3&gt;=st_central_energie_debut,O$3&lt;=st_central_energie_fin),st_central_energie_mult,1)</f>
        <v/>
      </c>
      <c r="P13" s="17">
        <f>(bud_chauffage_S2+bud_hors_gel_S2+bud_electricite_S2)*P7*IF(AND(P$3&gt;=st_central_energie_debut,P$3&lt;=st_central_energie_fin),st_central_energie_mult,1)</f>
        <v/>
      </c>
      <c r="Q13" s="17">
        <f>(bud_chauffage_S2+bud_hors_gel_S2+bud_electricite_S2)*Q7*IF(AND(Q$3&gt;=st_central_energie_debut,Q$3&lt;=st_central_energie_fin),st_central_energie_mult,1)</f>
        <v/>
      </c>
      <c r="R13" s="17">
        <f>(bud_chauffage_S2+bud_hors_gel_S2+bud_electricite_S2)*R7*IF(AND(R$3&gt;=st_central_energie_debut,R$3&lt;=st_central_energie_fin),st_central_energie_mult,1)</f>
        <v/>
      </c>
      <c r="S13" s="17">
        <f>(bud_chauffage_S2+bud_hors_gel_S2+bud_electricite_S2)*S7*IF(AND(S$3&gt;=st_central_energie_debut,S$3&lt;=st_central_energie_fin),st_central_energie_mult,1)</f>
        <v/>
      </c>
      <c r="T13" s="17">
        <f>(bud_chauffage_S2+bud_hors_gel_S2+bud_electricite_S2)*T7*IF(AND(T$3&gt;=st_central_energie_debut,T$3&lt;=st_central_energie_fin),st_central_energie_mult,1)</f>
        <v/>
      </c>
      <c r="U13" s="17">
        <f>(bud_chauffage_S2+bud_hors_gel_S2+bud_electricite_S2)*U7*IF(AND(U$3&gt;=st_central_energie_debut,U$3&lt;=st_central_energie_fin),st_central_energie_mult,1)</f>
        <v/>
      </c>
      <c r="V13" s="17">
        <f>(bud_chauffage_S2+bud_hors_gel_S2+bud_electricite_S2)*V7*IF(AND(V$3&gt;=st_central_energie_debut,V$3&lt;=st_central_energie_fin),st_central_energie_mult,1)</f>
        <v/>
      </c>
      <c r="W13" s="17">
        <f>(bud_chauffage_S2+bud_hors_gel_S2+bud_electricite_S2)*W7*IF(AND(W$3&gt;=st_central_energie_debut,W$3&lt;=st_central_energie_fin),st_central_energie_mult,1)</f>
        <v/>
      </c>
      <c r="X13" s="17">
        <f>(bud_chauffage_S2+bud_hors_gel_S2+bud_electricite_S2)*X7*IF(AND(X$3&gt;=st_central_energie_debut,X$3&lt;=st_central_energie_fin),st_central_energie_mult,1)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IF(MOD(E$3,campagne_periode)=0,(D20+E15)*st_central_mult_campagne*(1-E11*flex_report),0)</f>
        <v/>
      </c>
      <c r="F17" s="17">
        <f>IF(MOD(F$3,campagne_periode)=0,(E20+F15)*st_central_mult_campagne*(1-F11*flex_report),0)</f>
        <v/>
      </c>
      <c r="G17" s="17">
        <f>IF(MOD(G$3,campagne_periode)=0,(F20+G15)*st_central_mult_campagne*(1-G11*flex_report),0)</f>
        <v/>
      </c>
      <c r="H17" s="17">
        <f>IF(MOD(H$3,campagne_periode)=0,(G20+H15)*st_central_mult_campagne*(1-H11*flex_report),0)</f>
        <v/>
      </c>
      <c r="I17" s="17">
        <f>IF(MOD(I$3,campagne_periode)=0,(H20+I15)*st_central_mult_campagne*(1-I11*flex_report),0)</f>
        <v/>
      </c>
      <c r="J17" s="17">
        <f>IF(MOD(J$3,campagne_periode)=0,(I20+J15)*st_central_mult_campagne*(1-J11*flex_report),0)</f>
        <v/>
      </c>
      <c r="K17" s="17">
        <f>IF(MOD(K$3,campagne_periode)=0,(J20+K15)*st_central_mult_campagne*(1-K11*flex_report),0)</f>
        <v/>
      </c>
      <c r="L17" s="17">
        <f>IF(MOD(L$3,campagne_periode)=0,(K20+L15)*st_central_mult_campagne*(1-L11*flex_report),0)</f>
        <v/>
      </c>
      <c r="M17" s="17">
        <f>IF(MOD(M$3,campagne_periode)=0,(L20+M15)*st_central_mult_campagne*(1-M11*flex_report),0)</f>
        <v/>
      </c>
      <c r="N17" s="17">
        <f>IF(MOD(N$3,campagne_periode)=0,(M20+N15)*st_central_mult_campagne*(1-N11*flex_report),0)</f>
        <v/>
      </c>
      <c r="O17" s="17">
        <f>IF(MOD(O$3,campagne_periode)=0,(N20+O15)*st_central_mult_campagne*(1-O11*flex_report),0)</f>
        <v/>
      </c>
      <c r="P17" s="17">
        <f>IF(MOD(P$3,campagne_periode)=0,(O20+P15)*st_central_mult_campagne*(1-P11*flex_report),0)</f>
        <v/>
      </c>
      <c r="Q17" s="17">
        <f>IF(MOD(Q$3,campagne_periode)=0,(P20+Q15)*st_central_mult_campagne*(1-Q11*flex_report),0)</f>
        <v/>
      </c>
      <c r="R17" s="17">
        <f>IF(MOD(R$3,campagne_periode)=0,(Q20+R15)*st_central_mult_campagne*(1-R11*flex_report),0)</f>
        <v/>
      </c>
      <c r="S17" s="17">
        <f>IF(MOD(S$3,campagne_periode)=0,(R20+S15)*st_central_mult_campagne*(1-S11*flex_report),0)</f>
        <v/>
      </c>
      <c r="T17" s="17">
        <f>IF(MOD(T$3,campagne_periode)=0,(S20+T15)*st_central_mult_campagne*(1-T11*flex_report),0)</f>
        <v/>
      </c>
      <c r="U17" s="17">
        <f>IF(MOD(U$3,campagne_periode)=0,(T20+U15)*st_central_mult_campagne*(1-U11*flex_report),0)</f>
        <v/>
      </c>
      <c r="V17" s="17">
        <f>IF(MOD(V$3,campagne_periode)=0,(U20+V15)*st_central_mult_campagne*(1-V11*flex_report),0)</f>
        <v/>
      </c>
      <c r="W17" s="17">
        <f>IF(MOD(W$3,campagne_periode)=0,(V20+W15)*st_central_mult_campagne*(1-W11*flex_report),0)</f>
        <v/>
      </c>
      <c r="X17" s="17">
        <f>IF(MOD(X$3,campagne_periode)=0,(W20+X15)*st_central_mult_campagne*(1-X11*flex_report),0)</f>
        <v/>
      </c>
    </row>
    <row r="18">
      <c r="A18" s="2" t="inlineStr">
        <is>
          <t>choc_trav</t>
        </is>
      </c>
      <c r="B18" s="2" t="inlineStr">
        <is>
          <t>Sinistre ou découverte non assurés</t>
        </is>
      </c>
      <c r="C18" s="2" t="inlineStr">
        <is>
          <t>€ 2026</t>
        </is>
      </c>
      <c r="E18" s="17">
        <f>IF(E$3=st_central_choc_trav_an,st_central_choc_trav_montant,0)</f>
        <v/>
      </c>
      <c r="F18" s="17">
        <f>IF(F$3=st_central_choc_trav_an,st_central_choc_trav_montant,0)</f>
        <v/>
      </c>
      <c r="G18" s="17">
        <f>IF(G$3=st_central_choc_trav_an,st_central_choc_trav_montant,0)</f>
        <v/>
      </c>
      <c r="H18" s="17">
        <f>IF(H$3=st_central_choc_trav_an,st_central_choc_trav_montant,0)</f>
        <v/>
      </c>
      <c r="I18" s="17">
        <f>IF(I$3=st_central_choc_trav_an,st_central_choc_trav_montant,0)</f>
        <v/>
      </c>
      <c r="J18" s="17">
        <f>IF(J$3=st_central_choc_trav_an,st_central_choc_trav_montant,0)</f>
        <v/>
      </c>
      <c r="K18" s="17">
        <f>IF(K$3=st_central_choc_trav_an,st_central_choc_trav_montant,0)</f>
        <v/>
      </c>
      <c r="L18" s="17">
        <f>IF(L$3=st_central_choc_trav_an,st_central_choc_trav_montant,0)</f>
        <v/>
      </c>
      <c r="M18" s="17">
        <f>IF(M$3=st_central_choc_trav_an,st_central_choc_trav_montant,0)</f>
        <v/>
      </c>
      <c r="N18" s="17">
        <f>IF(N$3=st_central_choc_trav_an,st_central_choc_trav_montant,0)</f>
        <v/>
      </c>
      <c r="O18" s="17">
        <f>IF(O$3=st_central_choc_trav_an,st_central_choc_trav_montant,0)</f>
        <v/>
      </c>
      <c r="P18" s="17">
        <f>IF(P$3=st_central_choc_trav_an,st_central_choc_trav_montant,0)</f>
        <v/>
      </c>
      <c r="Q18" s="17">
        <f>IF(Q$3=st_central_choc_trav_an,st_central_choc_trav_montant,0)</f>
        <v/>
      </c>
      <c r="R18" s="17">
        <f>IF(R$3=st_central_choc_trav_an,st_central_choc_trav_montant,0)</f>
        <v/>
      </c>
      <c r="S18" s="17">
        <f>IF(S$3=st_central_choc_trav_an,st_central_choc_trav_montant,0)</f>
        <v/>
      </c>
      <c r="T18" s="17">
        <f>IF(T$3=st_central_choc_trav_an,st_central_choc_trav_montant,0)</f>
        <v/>
      </c>
      <c r="U18" s="17">
        <f>IF(U$3=st_central_choc_trav_an,st_central_choc_trav_montant,0)</f>
        <v/>
      </c>
      <c r="V18" s="17">
        <f>IF(V$3=st_central_choc_trav_an,st_central_choc_trav_montant,0)</f>
        <v/>
      </c>
      <c r="W18" s="17">
        <f>IF(W$3=st_central_choc_trav_an,st_central_choc_trav_montant,0)</f>
        <v/>
      </c>
      <c r="X18" s="17">
        <f>IF(X$3=st_central_choc_trav_an,st_central_choc_trav_montant,0)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(S2_ech_log*mot_log_cn+S2_ech_stock*mot_stock_cn+S2_ech_pv*mot_pv_cn+S2_ech_bois*mot_bois_cn)*E22*E8*IF(E$3&gt;=st_central_debut_mult,st_central_mult_A,1)*IF(E10=1,1-0.05,IF(E10=2,1-0.02,1))</f>
        <v/>
      </c>
      <c r="F23" s="17">
        <f>(S2_ech_log*mot_log_cn+S2_ech_stock*mot_stock_cn+S2_ech_pv*mot_pv_cn+S2_ech_bois*mot_bois_cn)*F22*F8*IF(F$3&gt;=st_central_debut_mult,st_central_mult_A,1)*IF(F10=1,1-0.05,IF(F10=2,1-0.02,1))</f>
        <v/>
      </c>
      <c r="G23" s="17">
        <f>(S2_ech_log*mot_log_cn+S2_ech_stock*mot_stock_cn+S2_ech_pv*mot_pv_cn+S2_ech_bois*mot_bois_cn)*G22*G8*IF(G$3&gt;=st_central_debut_mult,st_central_mult_A,1)*IF(G10=1,1-0.05,IF(G10=2,1-0.02,1))</f>
        <v/>
      </c>
      <c r="H23" s="17">
        <f>(S2_ech_log*mot_log_cn+S2_ech_stock*mot_stock_cn+S2_ech_pv*mot_pv_cn+S2_ech_bois*mot_bois_cn)*H22*H8*IF(H$3&gt;=st_central_debut_mult,st_central_mult_A,1)*IF(H10=1,1-0.05,IF(H10=2,1-0.02,1))</f>
        <v/>
      </c>
      <c r="I23" s="17">
        <f>(S2_ech_log*mot_log_cn+S2_ech_stock*mot_stock_cn+S2_ech_pv*mot_pv_cn+S2_ech_bois*mot_bois_cn)*I22*I8*IF(I$3&gt;=st_central_debut_mult,st_central_mult_A,1)*IF(I10=1,1-0.05,IF(I10=2,1-0.02,1))</f>
        <v/>
      </c>
      <c r="J23" s="17">
        <f>(S2_ech_log*mot_log_cn+S2_ech_stock*mot_stock_cn+S2_ech_pv*mot_pv_cn+S2_ech_bois*mot_bois_cn)*J22*J8*IF(J$3&gt;=st_central_debut_mult,st_central_mult_A,1)*IF(J10=1,1-0.05,IF(J10=2,1-0.02,1))</f>
        <v/>
      </c>
      <c r="K23" s="17">
        <f>(S2_ech_log*mot_log_cn+S2_ech_stock*mot_stock_cn+S2_ech_pv*mot_pv_cn+S2_ech_bois*mot_bois_cn)*K22*K8*IF(K$3&gt;=st_central_debut_mult,st_central_mult_A,1)*IF(K10=1,1-0.05,IF(K10=2,1-0.02,1))</f>
        <v/>
      </c>
      <c r="L23" s="17">
        <f>(S2_ech_log*mot_log_cn+S2_ech_stock*mot_stock_cn+S2_ech_pv*mot_pv_cn+S2_ech_bois*mot_bois_cn)*L22*L8*IF(L$3&gt;=st_central_debut_mult,st_central_mult_A,1)*IF(L10=1,1-0.05,IF(L10=2,1-0.02,1))</f>
        <v/>
      </c>
      <c r="M23" s="17">
        <f>(S2_ech_log*mot_log_cn+S2_ech_stock*mot_stock_cn+S2_ech_pv*mot_pv_cn+S2_ech_bois*mot_bois_cn)*M22*M8*IF(M$3&gt;=st_central_debut_mult,st_central_mult_A,1)*IF(M10=1,1-0.05,IF(M10=2,1-0.02,1))</f>
        <v/>
      </c>
      <c r="N23" s="17">
        <f>(S2_ech_log*mot_log_cn+S2_ech_stock*mot_stock_cn+S2_ech_pv*mot_pv_cn+S2_ech_bois*mot_bois_cn)*N22*N8*IF(N$3&gt;=st_central_debut_mult,st_central_mult_A,1)*IF(N10=1,1-0.05,IF(N10=2,1-0.02,1))</f>
        <v/>
      </c>
      <c r="O23" s="17">
        <f>(S2_ech_log*mot_log_cn+S2_ech_stock*mot_stock_cn+S2_ech_pv*mot_pv_cn+S2_ech_bois*mot_bois_cn)*O22*O8*IF(O$3&gt;=st_central_debut_mult,st_central_mult_A,1)*IF(O10=1,1-0.05,IF(O10=2,1-0.02,1))</f>
        <v/>
      </c>
      <c r="P23" s="17">
        <f>(S2_ech_log*mot_log_cn+S2_ech_stock*mot_stock_cn+S2_ech_pv*mot_pv_cn+S2_ech_bois*mot_bois_cn)*P22*P8*IF(P$3&gt;=st_central_debut_mult,st_central_mult_A,1)*IF(P10=1,1-0.05,IF(P10=2,1-0.02,1))</f>
        <v/>
      </c>
      <c r="Q23" s="17">
        <f>(S2_ech_log*mot_log_cn+S2_ech_stock*mot_stock_cn+S2_ech_pv*mot_pv_cn+S2_ech_bois*mot_bois_cn)*Q22*Q8*IF(Q$3&gt;=st_central_debut_mult,st_central_mult_A,1)*IF(Q10=1,1-0.05,IF(Q10=2,1-0.02,1))</f>
        <v/>
      </c>
      <c r="R23" s="17">
        <f>(S2_ech_log*mot_log_cn+S2_ech_stock*mot_stock_cn+S2_ech_pv*mot_pv_cn+S2_ech_bois*mot_bois_cn)*R22*R8*IF(R$3&gt;=st_central_debut_mult,st_central_mult_A,1)*IF(R10=1,1-0.05,IF(R10=2,1-0.02,1))</f>
        <v/>
      </c>
      <c r="S23" s="17">
        <f>(S2_ech_log*mot_log_cn+S2_ech_stock*mot_stock_cn+S2_ech_pv*mot_pv_cn+S2_ech_bois*mot_bois_cn)*S22*S8*IF(S$3&gt;=st_central_debut_mult,st_central_mult_A,1)*IF(S10=1,1-0.05,IF(S10=2,1-0.02,1))</f>
        <v/>
      </c>
      <c r="T23" s="17">
        <f>(S2_ech_log*mot_log_cn+S2_ech_stock*mot_stock_cn+S2_ech_pv*mot_pv_cn+S2_ech_bois*mot_bois_cn)*T22*T8*IF(T$3&gt;=st_central_debut_mult,st_central_mult_A,1)*IF(T10=1,1-0.05,IF(T10=2,1-0.02,1))</f>
        <v/>
      </c>
      <c r="U23" s="17">
        <f>(S2_ech_log*mot_log_cn+S2_ech_stock*mot_stock_cn+S2_ech_pv*mot_pv_cn+S2_ech_bois*mot_bois_cn)*U22*U8*IF(U$3&gt;=st_central_debut_mult,st_central_mult_A,1)*IF(U10=1,1-0.05,IF(U10=2,1-0.02,1))</f>
        <v/>
      </c>
      <c r="V23" s="17">
        <f>(S2_ech_log*mot_log_cn+S2_ech_stock*mot_stock_cn+S2_ech_pv*mot_pv_cn+S2_ech_bois*mot_bois_cn)*V22*V8*IF(V$3&gt;=st_central_debut_mult,st_central_mult_A,1)*IF(V10=1,1-0.05,IF(V10=2,1-0.02,1))</f>
        <v/>
      </c>
      <c r="W23" s="17">
        <f>(S2_ech_log*mot_log_cn+S2_ech_stock*mot_stock_cn+S2_ech_pv*mot_pv_cn+S2_ech_bois*mot_bois_cn)*W22*W8*IF(W$3&gt;=st_central_debut_mult,st_central_mult_A,1)*IF(W10=1,1-0.05,IF(W10=2,1-0.02,1))</f>
        <v/>
      </c>
      <c r="X23" s="17">
        <f>(S2_ech_log*mot_log_cn+S2_ech_stock*mot_stock_cn+S2_ech_pv*mot_pv_cn+S2_ech_bois*mot_bois_cn)*X22*X8*IF(X$3&gt;=st_central_debut_mult,st_central_mult_A,1)*IF(X10=1,1-0.05,IF(X10=2,1-0.02,1))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(S2_ech_eq_std*mot_eq_std_cn+S2_ech_eq_ret*mot_eq_ret_cn)*E22*E8*IF(E$3&gt;=st_central_debut_mult,st_central_mult_B,1)*IF(E10=1,1-0.15,IF(E10=2,1-0.05,1))</f>
        <v/>
      </c>
      <c r="F24" s="17">
        <f>(S2_ech_eq_std*mot_eq_std_cn+S2_ech_eq_ret*mot_eq_ret_cn)*F22*F8*IF(F$3&gt;=st_central_debut_mult,st_central_mult_B,1)*IF(F10=1,1-0.15,IF(F10=2,1-0.05,1))</f>
        <v/>
      </c>
      <c r="G24" s="17">
        <f>(S2_ech_eq_std*mot_eq_std_cn+S2_ech_eq_ret*mot_eq_ret_cn)*G22*G8*IF(G$3&gt;=st_central_debut_mult,st_central_mult_B,1)*IF(G10=1,1-0.15,IF(G10=2,1-0.05,1))</f>
        <v/>
      </c>
      <c r="H24" s="17">
        <f>(S2_ech_eq_std*mot_eq_std_cn+S2_ech_eq_ret*mot_eq_ret_cn)*H22*H8*IF(H$3&gt;=st_central_debut_mult,st_central_mult_B,1)*IF(H10=1,1-0.15,IF(H10=2,1-0.05,1))</f>
        <v/>
      </c>
      <c r="I24" s="17">
        <f>(S2_ech_eq_std*mot_eq_std_cn+S2_ech_eq_ret*mot_eq_ret_cn)*I22*I8*IF(I$3&gt;=st_central_debut_mult,st_central_mult_B,1)*IF(I10=1,1-0.15,IF(I10=2,1-0.05,1))</f>
        <v/>
      </c>
      <c r="J24" s="17">
        <f>(S2_ech_eq_std*mot_eq_std_cn+S2_ech_eq_ret*mot_eq_ret_cn)*J22*J8*IF(J$3&gt;=st_central_debut_mult,st_central_mult_B,1)*IF(J10=1,1-0.15,IF(J10=2,1-0.05,1))</f>
        <v/>
      </c>
      <c r="K24" s="17">
        <f>(S2_ech_eq_std*mot_eq_std_cn+S2_ech_eq_ret*mot_eq_ret_cn)*K22*K8*IF(K$3&gt;=st_central_debut_mult,st_central_mult_B,1)*IF(K10=1,1-0.15,IF(K10=2,1-0.05,1))</f>
        <v/>
      </c>
      <c r="L24" s="17">
        <f>(S2_ech_eq_std*mot_eq_std_cn+S2_ech_eq_ret*mot_eq_ret_cn)*L22*L8*IF(L$3&gt;=st_central_debut_mult,st_central_mult_B,1)*IF(L10=1,1-0.15,IF(L10=2,1-0.05,1))</f>
        <v/>
      </c>
      <c r="M24" s="17">
        <f>(S2_ech_eq_std*mot_eq_std_cn+S2_ech_eq_ret*mot_eq_ret_cn)*M22*M8*IF(M$3&gt;=st_central_debut_mult,st_central_mult_B,1)*IF(M10=1,1-0.15,IF(M10=2,1-0.05,1))</f>
        <v/>
      </c>
      <c r="N24" s="17">
        <f>(S2_ech_eq_std*mot_eq_std_cn+S2_ech_eq_ret*mot_eq_ret_cn)*N22*N8*IF(N$3&gt;=st_central_debut_mult,st_central_mult_B,1)*IF(N10=1,1-0.15,IF(N10=2,1-0.05,1))</f>
        <v/>
      </c>
      <c r="O24" s="17">
        <f>(S2_ech_eq_std*mot_eq_std_cn+S2_ech_eq_ret*mot_eq_ret_cn)*O22*O8*IF(O$3&gt;=st_central_debut_mult,st_central_mult_B,1)*IF(O10=1,1-0.15,IF(O10=2,1-0.05,1))</f>
        <v/>
      </c>
      <c r="P24" s="17">
        <f>(S2_ech_eq_std*mot_eq_std_cn+S2_ech_eq_ret*mot_eq_ret_cn)*P22*P8*IF(P$3&gt;=st_central_debut_mult,st_central_mult_B,1)*IF(P10=1,1-0.15,IF(P10=2,1-0.05,1))</f>
        <v/>
      </c>
      <c r="Q24" s="17">
        <f>(S2_ech_eq_std*mot_eq_std_cn+S2_ech_eq_ret*mot_eq_ret_cn)*Q22*Q8*IF(Q$3&gt;=st_central_debut_mult,st_central_mult_B,1)*IF(Q10=1,1-0.15,IF(Q10=2,1-0.05,1))</f>
        <v/>
      </c>
      <c r="R24" s="17">
        <f>(S2_ech_eq_std*mot_eq_std_cn+S2_ech_eq_ret*mot_eq_ret_cn)*R22*R8*IF(R$3&gt;=st_central_debut_mult,st_central_mult_B,1)*IF(R10=1,1-0.15,IF(R10=2,1-0.05,1))</f>
        <v/>
      </c>
      <c r="S24" s="17">
        <f>(S2_ech_eq_std*mot_eq_std_cn+S2_ech_eq_ret*mot_eq_ret_cn)*S22*S8*IF(S$3&gt;=st_central_debut_mult,st_central_mult_B,1)*IF(S10=1,1-0.15,IF(S10=2,1-0.05,1))</f>
        <v/>
      </c>
      <c r="T24" s="17">
        <f>(S2_ech_eq_std*mot_eq_std_cn+S2_ech_eq_ret*mot_eq_ret_cn)*T22*T8*IF(T$3&gt;=st_central_debut_mult,st_central_mult_B,1)*IF(T10=1,1-0.15,IF(T10=2,1-0.05,1))</f>
        <v/>
      </c>
      <c r="U24" s="17">
        <f>(S2_ech_eq_std*mot_eq_std_cn+S2_ech_eq_ret*mot_eq_ret_cn)*U22*U8*IF(U$3&gt;=st_central_debut_mult,st_central_mult_B,1)*IF(U10=1,1-0.15,IF(U10=2,1-0.05,1))</f>
        <v/>
      </c>
      <c r="V24" s="17">
        <f>(S2_ech_eq_std*mot_eq_std_cn+S2_ech_eq_ret*mot_eq_ret_cn)*V22*V8*IF(V$3&gt;=st_central_debut_mult,st_central_mult_B,1)*IF(V10=1,1-0.15,IF(V10=2,1-0.05,1))</f>
        <v/>
      </c>
      <c r="W24" s="17">
        <f>(S2_ech_eq_std*mot_eq_std_cn+S2_ech_eq_ret*mot_eq_ret_cn)*W22*W8*IF(W$3&gt;=st_central_debut_mult,st_central_mult_B,1)*IF(W10=1,1-0.15,IF(W10=2,1-0.05,1))</f>
        <v/>
      </c>
      <c r="X24" s="17">
        <f>(S2_ech_eq_std*mot_eq_std_cn+S2_ech_eq_ret*mot_eq_ret_cn)*X22*X8*IF(X$3&gt;=st_central_debut_mult,st_central_mult_B,1)*IF(X10=1,1-0.15,IF(X10=2,1-0.05,1))</f>
        <v/>
      </c>
    </row>
    <row r="25">
      <c r="A25" s="2" t="inlineStr">
        <is>
          <t>act_C</t>
        </is>
      </c>
      <c r="B25" s="2" t="inlineStr">
        <is>
          <t>Contribution des activités occasionnelles (classe C)</t>
        </is>
      </c>
      <c r="C25" s="2" t="inlineStr">
        <is>
          <t>€ 2026</t>
        </is>
      </c>
      <c r="E25" s="17">
        <f>(S2_ech_tourn*mot_tourn_cn)*E22*E8*IF(E$3&gt;=st_central_debut_mult,st_central_mult_C,1)*IF(E10=1,1-0.8,IF(E10=2,1-0.3,1))</f>
        <v/>
      </c>
      <c r="F25" s="17">
        <f>(S2_ech_tourn*mot_tourn_cn)*F22*F8*IF(F$3&gt;=st_central_debut_mult,st_central_mult_C,1)*IF(F10=1,1-0.8,IF(F10=2,1-0.3,1))</f>
        <v/>
      </c>
      <c r="G25" s="17">
        <f>(S2_ech_tourn*mot_tourn_cn)*G22*G8*IF(G$3&gt;=st_central_debut_mult,st_central_mult_C,1)*IF(G10=1,1-0.8,IF(G10=2,1-0.3,1))</f>
        <v/>
      </c>
      <c r="H25" s="17">
        <f>(S2_ech_tourn*mot_tourn_cn)*H22*H8*IF(H$3&gt;=st_central_debut_mult,st_central_mult_C,1)*IF(H10=1,1-0.8,IF(H10=2,1-0.3,1))</f>
        <v/>
      </c>
      <c r="I25" s="17">
        <f>(S2_ech_tourn*mot_tourn_cn)*I22*I8*IF(I$3&gt;=st_central_debut_mult,st_central_mult_C,1)*IF(I10=1,1-0.8,IF(I10=2,1-0.3,1))</f>
        <v/>
      </c>
      <c r="J25" s="17">
        <f>(S2_ech_tourn*mot_tourn_cn)*J22*J8*IF(J$3&gt;=st_central_debut_mult,st_central_mult_C,1)*IF(J10=1,1-0.8,IF(J10=2,1-0.3,1))</f>
        <v/>
      </c>
      <c r="K25" s="17">
        <f>(S2_ech_tourn*mot_tourn_cn)*K22*K8*IF(K$3&gt;=st_central_debut_mult,st_central_mult_C,1)*IF(K10=1,1-0.8,IF(K10=2,1-0.3,1))</f>
        <v/>
      </c>
      <c r="L25" s="17">
        <f>(S2_ech_tourn*mot_tourn_cn)*L22*L8*IF(L$3&gt;=st_central_debut_mult,st_central_mult_C,1)*IF(L10=1,1-0.8,IF(L10=2,1-0.3,1))</f>
        <v/>
      </c>
      <c r="M25" s="17">
        <f>(S2_ech_tourn*mot_tourn_cn)*M22*M8*IF(M$3&gt;=st_central_debut_mult,st_central_mult_C,1)*IF(M10=1,1-0.8,IF(M10=2,1-0.3,1))</f>
        <v/>
      </c>
      <c r="N25" s="17">
        <f>(S2_ech_tourn*mot_tourn_cn)*N22*N8*IF(N$3&gt;=st_central_debut_mult,st_central_mult_C,1)*IF(N10=1,1-0.8,IF(N10=2,1-0.3,1))</f>
        <v/>
      </c>
      <c r="O25" s="17">
        <f>(S2_ech_tourn*mot_tourn_cn)*O22*O8*IF(O$3&gt;=st_central_debut_mult,st_central_mult_C,1)*IF(O10=1,1-0.8,IF(O10=2,1-0.3,1))</f>
        <v/>
      </c>
      <c r="P25" s="17">
        <f>(S2_ech_tourn*mot_tourn_cn)*P22*P8*IF(P$3&gt;=st_central_debut_mult,st_central_mult_C,1)*IF(P10=1,1-0.8,IF(P10=2,1-0.3,1))</f>
        <v/>
      </c>
      <c r="Q25" s="17">
        <f>(S2_ech_tourn*mot_tourn_cn)*Q22*Q8*IF(Q$3&gt;=st_central_debut_mult,st_central_mult_C,1)*IF(Q10=1,1-0.8,IF(Q10=2,1-0.3,1))</f>
        <v/>
      </c>
      <c r="R25" s="17">
        <f>(S2_ech_tourn*mot_tourn_cn)*R22*R8*IF(R$3&gt;=st_central_debut_mult,st_central_mult_C,1)*IF(R10=1,1-0.8,IF(R10=2,1-0.3,1))</f>
        <v/>
      </c>
      <c r="S25" s="17">
        <f>(S2_ech_tourn*mot_tourn_cn)*S22*S8*IF(S$3&gt;=st_central_debut_mult,st_central_mult_C,1)*IF(S10=1,1-0.8,IF(S10=2,1-0.3,1))</f>
        <v/>
      </c>
      <c r="T25" s="17">
        <f>(S2_ech_tourn*mot_tourn_cn)*T22*T8*IF(T$3&gt;=st_central_debut_mult,st_central_mult_C,1)*IF(T10=1,1-0.8,IF(T10=2,1-0.3,1))</f>
        <v/>
      </c>
      <c r="U25" s="17">
        <f>(S2_ech_tourn*mot_tourn_cn)*U22*U8*IF(U$3&gt;=st_central_debut_mult,st_central_mult_C,1)*IF(U10=1,1-0.8,IF(U10=2,1-0.3,1))</f>
        <v/>
      </c>
      <c r="V25" s="17">
        <f>(S2_ech_tourn*mot_tourn_cn)*V22*V8*IF(V$3&gt;=st_central_debut_mult,st_central_mult_C,1)*IF(V10=1,1-0.8,IF(V10=2,1-0.3,1))</f>
        <v/>
      </c>
      <c r="W25" s="17">
        <f>(S2_ech_tourn*mot_tourn_cn)*W22*W8*IF(W$3&gt;=st_central_debut_mult,st_central_mult_C,1)*IF(W10=1,1-0.8,IF(W10=2,1-0.3,1))</f>
        <v/>
      </c>
      <c r="X25" s="17">
        <f>(S2_ech_tourn*mot_tourn_cn)*X22*X8*IF(X$3&gt;=st_central_debut_mult,st_central_mult_C,1)*IF(X10=1,1-0.8,IF(X10=2,1-0.3,1))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IF(AND(E$3&lt;=S2_sol_div_annees,E$3&lt;=st_central_div_fin),S2_sol_div*IF(E10=1,0.5,1),0)</f>
        <v/>
      </c>
      <c r="F33" s="17">
        <f>IF(AND(F$3&lt;=S2_sol_div_annees,F$3&lt;=st_central_div_fin),S2_sol_div*IF(F10=1,0.5,1),0)</f>
        <v/>
      </c>
      <c r="G33" s="17">
        <f>IF(AND(G$3&lt;=S2_sol_div_annees,G$3&lt;=st_central_div_fin),S2_sol_div*IF(G10=1,0.5,1),0)</f>
        <v/>
      </c>
      <c r="H33" s="17">
        <f>IF(AND(H$3&lt;=S2_sol_div_annees,H$3&lt;=st_central_div_fin),S2_sol_div*IF(H10=1,0.5,1),0)</f>
        <v/>
      </c>
      <c r="I33" s="17">
        <f>IF(AND(I$3&lt;=S2_sol_div_annees,I$3&lt;=st_central_div_fin),S2_sol_div*IF(I10=1,0.5,1),0)</f>
        <v/>
      </c>
      <c r="J33" s="17">
        <f>IF(AND(J$3&lt;=S2_sol_div_annees,J$3&lt;=st_central_div_fin),S2_sol_div*IF(J10=1,0.5,1),0)</f>
        <v/>
      </c>
      <c r="K33" s="17">
        <f>IF(AND(K$3&lt;=S2_sol_div_annees,K$3&lt;=st_central_div_fin),S2_sol_div*IF(K10=1,0.5,1),0)</f>
        <v/>
      </c>
      <c r="L33" s="17">
        <f>IF(AND(L$3&lt;=S2_sol_div_annees,L$3&lt;=st_central_div_fin),S2_sol_div*IF(L10=1,0.5,1),0)</f>
        <v/>
      </c>
      <c r="M33" s="17">
        <f>IF(AND(M$3&lt;=S2_sol_div_annees,M$3&lt;=st_central_div_fin),S2_sol_div*IF(M10=1,0.5,1),0)</f>
        <v/>
      </c>
      <c r="N33" s="17">
        <f>IF(AND(N$3&lt;=S2_sol_div_annees,N$3&lt;=st_central_div_fin),S2_sol_div*IF(N10=1,0.5,1),0)</f>
        <v/>
      </c>
      <c r="O33" s="17">
        <f>IF(AND(O$3&lt;=S2_sol_div_annees,O$3&lt;=st_central_div_fin),S2_sol_div*IF(O10=1,0.5,1),0)</f>
        <v/>
      </c>
      <c r="P33" s="17">
        <f>IF(AND(P$3&lt;=S2_sol_div_annees,P$3&lt;=st_central_div_fin),S2_sol_div*IF(P10=1,0.5,1),0)</f>
        <v/>
      </c>
      <c r="Q33" s="17">
        <f>IF(AND(Q$3&lt;=S2_sol_div_annees,Q$3&lt;=st_central_div_fin),S2_sol_div*IF(Q10=1,0.5,1),0)</f>
        <v/>
      </c>
      <c r="R33" s="17">
        <f>IF(AND(R$3&lt;=S2_sol_div_annees,R$3&lt;=st_central_div_fin),S2_sol_div*IF(R10=1,0.5,1),0)</f>
        <v/>
      </c>
      <c r="S33" s="17">
        <f>IF(AND(S$3&lt;=S2_sol_div_annees,S$3&lt;=st_central_div_fin),S2_sol_div*IF(S10=1,0.5,1),0)</f>
        <v/>
      </c>
      <c r="T33" s="17">
        <f>IF(AND(T$3&lt;=S2_sol_div_annees,T$3&lt;=st_central_div_fin),S2_sol_div*IF(T10=1,0.5,1),0)</f>
        <v/>
      </c>
      <c r="U33" s="17">
        <f>IF(AND(U$3&lt;=S2_sol_div_annees,U$3&lt;=st_central_div_fin),S2_sol_div*IF(U10=1,0.5,1),0)</f>
        <v/>
      </c>
      <c r="V33" s="17">
        <f>IF(AND(V$3&lt;=S2_sol_div_annees,V$3&lt;=st_central_div_fin),S2_sol_div*IF(V10=1,0.5,1),0)</f>
        <v/>
      </c>
      <c r="W33" s="17">
        <f>IF(AND(W$3&lt;=S2_sol_div_annees,W$3&lt;=st_central_div_fin),S2_sol_div*IF(W10=1,0.5,1),0)</f>
        <v/>
      </c>
      <c r="X33" s="17">
        <f>IF(AND(X$3&lt;=S2_sol_div_annees,X$3&lt;=st_central_div_fin),S2_sol_div*IF(X10=1,0.5,1),0)</f>
        <v/>
      </c>
    </row>
    <row r="34">
      <c r="A34" s="2" t="inlineStr">
        <is>
          <t>rdt_dot</t>
        </is>
      </c>
      <c r="B34" s="2" t="inlineStr">
        <is>
          <t>Rendement réel de la dotation de l'année</t>
        </is>
      </c>
      <c r="C34" s="2" t="inlineStr">
        <is>
          <t>%</t>
        </is>
      </c>
      <c r="E34" s="20">
        <f>dot_rendement+st_central_dot_rdt_delta+IF(E10=1,-0.25,0)</f>
        <v/>
      </c>
      <c r="F34" s="20">
        <f>dot_rendement+st_central_dot_rdt_delta+IF(F10=1,-0.25,0)</f>
        <v/>
      </c>
      <c r="G34" s="20">
        <f>dot_rendement+st_central_dot_rdt_delta+IF(G10=1,-0.25,0)</f>
        <v/>
      </c>
      <c r="H34" s="20">
        <f>dot_rendement+st_central_dot_rdt_delta+IF(H10=1,-0.25,0)</f>
        <v/>
      </c>
      <c r="I34" s="20">
        <f>dot_rendement+st_central_dot_rdt_delta+IF(I10=1,-0.25,0)</f>
        <v/>
      </c>
      <c r="J34" s="20">
        <f>dot_rendement+st_central_dot_rdt_delta+IF(J10=1,-0.25,0)</f>
        <v/>
      </c>
      <c r="K34" s="20">
        <f>dot_rendement+st_central_dot_rdt_delta+IF(K10=1,-0.25,0)</f>
        <v/>
      </c>
      <c r="L34" s="20">
        <f>dot_rendement+st_central_dot_rdt_delta+IF(L10=1,-0.25,0)</f>
        <v/>
      </c>
      <c r="M34" s="20">
        <f>dot_rendement+st_central_dot_rdt_delta+IF(M10=1,-0.25,0)</f>
        <v/>
      </c>
      <c r="N34" s="20">
        <f>dot_rendement+st_central_dot_rdt_delta+IF(N10=1,-0.25,0)</f>
        <v/>
      </c>
      <c r="O34" s="20">
        <f>dot_rendement+st_central_dot_rdt_delta+IF(O10=1,-0.25,0)</f>
        <v/>
      </c>
      <c r="P34" s="20">
        <f>dot_rendement+st_central_dot_rdt_delta+IF(P10=1,-0.25,0)</f>
        <v/>
      </c>
      <c r="Q34" s="20">
        <f>dot_rendement+st_central_dot_rdt_delta+IF(Q10=1,-0.25,0)</f>
        <v/>
      </c>
      <c r="R34" s="20">
        <f>dot_rendement+st_central_dot_rdt_delta+IF(R10=1,-0.25,0)</f>
        <v/>
      </c>
      <c r="S34" s="20">
        <f>dot_rendement+st_central_dot_rdt_delta+IF(S10=1,-0.25,0)</f>
        <v/>
      </c>
      <c r="T34" s="20">
        <f>dot_rendement+st_central_dot_rdt_delta+IF(T10=1,-0.25,0)</f>
        <v/>
      </c>
      <c r="U34" s="20">
        <f>dot_rendement+st_central_dot_rdt_delta+IF(U10=1,-0.25,0)</f>
        <v/>
      </c>
      <c r="V34" s="20">
        <f>dot_rendement+st_central_dot_rdt_delta+IF(V10=1,-0.25,0)</f>
        <v/>
      </c>
      <c r="W34" s="20">
        <f>dot_rendement+st_central_dot_rdt_delta+IF(W10=1,-0.25,0)</f>
        <v/>
      </c>
      <c r="X34" s="20">
        <f>dot_rendement+st_central_dot_rdt_delta+IF(X10=1,-0.25,0)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Chiffre d'affaires des activités −30 % dès l'année 3</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D5*(1+g_salaires+st_ca30_g_sal_extra)</f>
        <v/>
      </c>
      <c r="F5" s="21">
        <f>E5*(1+g_salaires+st_ca30_g_sal_extra)</f>
        <v/>
      </c>
      <c r="G5" s="21">
        <f>F5*(1+g_salaires+st_ca30_g_sal_extra)</f>
        <v/>
      </c>
      <c r="H5" s="21">
        <f>G5*(1+g_salaires+st_ca30_g_sal_extra)</f>
        <v/>
      </c>
      <c r="I5" s="21">
        <f>H5*(1+g_salaires+st_ca30_g_sal_extra)</f>
        <v/>
      </c>
      <c r="J5" s="21">
        <f>I5*(1+g_salaires+st_ca30_g_sal_extra)</f>
        <v/>
      </c>
      <c r="K5" s="21">
        <f>J5*(1+g_salaires+st_ca30_g_sal_extra)</f>
        <v/>
      </c>
      <c r="L5" s="21">
        <f>K5*(1+g_salaires+st_ca30_g_sal_extra)</f>
        <v/>
      </c>
      <c r="M5" s="21">
        <f>L5*(1+g_salaires+st_ca30_g_sal_extra)</f>
        <v/>
      </c>
      <c r="N5" s="21">
        <f>M5*(1+g_salaires+st_ca30_g_sal_extra)</f>
        <v/>
      </c>
      <c r="O5" s="21">
        <f>N5*(1+g_salaires+st_ca30_g_sal_extra)</f>
        <v/>
      </c>
      <c r="P5" s="21">
        <f>O5*(1+g_salaires+st_ca30_g_sal_extra)</f>
        <v/>
      </c>
      <c r="Q5" s="21">
        <f>P5*(1+g_salaires+st_ca30_g_sal_extra)</f>
        <v/>
      </c>
      <c r="R5" s="21">
        <f>Q5*(1+g_salaires+st_ca30_g_sal_extra)</f>
        <v/>
      </c>
      <c r="S5" s="21">
        <f>R5*(1+g_salaires+st_ca30_g_sal_extra)</f>
        <v/>
      </c>
      <c r="T5" s="21">
        <f>S5*(1+g_salaires+st_ca30_g_sal_extra)</f>
        <v/>
      </c>
      <c r="U5" s="21">
        <f>T5*(1+g_salaires+st_ca30_g_sal_extra)</f>
        <v/>
      </c>
      <c r="V5" s="21">
        <f>U5*(1+g_salaires+st_ca30_g_sal_extra)</f>
        <v/>
      </c>
      <c r="W5" s="21">
        <f>V5*(1+g_salaires+st_ca30_g_sal_extra)</f>
        <v/>
      </c>
      <c r="X5" s="21">
        <f>W5*(1+g_salaires+st_ca30_g_sal_extra)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IF(st_ca30_crise_an&gt;0,IF(E$3=st_ca30_crise_an,1,IF(E$3=st_ca30_crise_an+1,2,0)),0)</f>
        <v/>
      </c>
      <c r="F10" s="21">
        <f>IF(st_ca30_crise_an&gt;0,IF(F$3=st_ca30_crise_an,1,IF(F$3=st_ca30_crise_an+1,2,0)),0)</f>
        <v/>
      </c>
      <c r="G10" s="21">
        <f>IF(st_ca30_crise_an&gt;0,IF(G$3=st_ca30_crise_an,1,IF(G$3=st_ca30_crise_an+1,2,0)),0)</f>
        <v/>
      </c>
      <c r="H10" s="21">
        <f>IF(st_ca30_crise_an&gt;0,IF(H$3=st_ca30_crise_an,1,IF(H$3=st_ca30_crise_an+1,2,0)),0)</f>
        <v/>
      </c>
      <c r="I10" s="21">
        <f>IF(st_ca30_crise_an&gt;0,IF(I$3=st_ca30_crise_an,1,IF(I$3=st_ca30_crise_an+1,2,0)),0)</f>
        <v/>
      </c>
      <c r="J10" s="21">
        <f>IF(st_ca30_crise_an&gt;0,IF(J$3=st_ca30_crise_an,1,IF(J$3=st_ca30_crise_an+1,2,0)),0)</f>
        <v/>
      </c>
      <c r="K10" s="21">
        <f>IF(st_ca30_crise_an&gt;0,IF(K$3=st_ca30_crise_an,1,IF(K$3=st_ca30_crise_an+1,2,0)),0)</f>
        <v/>
      </c>
      <c r="L10" s="21">
        <f>IF(st_ca30_crise_an&gt;0,IF(L$3=st_ca30_crise_an,1,IF(L$3=st_ca30_crise_an+1,2,0)),0)</f>
        <v/>
      </c>
      <c r="M10" s="21">
        <f>IF(st_ca30_crise_an&gt;0,IF(M$3=st_ca30_crise_an,1,IF(M$3=st_ca30_crise_an+1,2,0)),0)</f>
        <v/>
      </c>
      <c r="N10" s="21">
        <f>IF(st_ca30_crise_an&gt;0,IF(N$3=st_ca30_crise_an,1,IF(N$3=st_ca30_crise_an+1,2,0)),0)</f>
        <v/>
      </c>
      <c r="O10" s="21">
        <f>IF(st_ca30_crise_an&gt;0,IF(O$3=st_ca30_crise_an,1,IF(O$3=st_ca30_crise_an+1,2,0)),0)</f>
        <v/>
      </c>
      <c r="P10" s="21">
        <f>IF(st_ca30_crise_an&gt;0,IF(P$3=st_ca30_crise_an,1,IF(P$3=st_ca30_crise_an+1,2,0)),0)</f>
        <v/>
      </c>
      <c r="Q10" s="21">
        <f>IF(st_ca30_crise_an&gt;0,IF(Q$3=st_ca30_crise_an,1,IF(Q$3=st_ca30_crise_an+1,2,0)),0)</f>
        <v/>
      </c>
      <c r="R10" s="21">
        <f>IF(st_ca30_crise_an&gt;0,IF(R$3=st_ca30_crise_an,1,IF(R$3=st_ca30_crise_an+1,2,0)),0)</f>
        <v/>
      </c>
      <c r="S10" s="21">
        <f>IF(st_ca30_crise_an&gt;0,IF(S$3=st_ca30_crise_an,1,IF(S$3=st_ca30_crise_an+1,2,0)),0)</f>
        <v/>
      </c>
      <c r="T10" s="21">
        <f>IF(st_ca30_crise_an&gt;0,IF(T$3=st_ca30_crise_an,1,IF(T$3=st_ca30_crise_an+1,2,0)),0)</f>
        <v/>
      </c>
      <c r="U10" s="21">
        <f>IF(st_ca30_crise_an&gt;0,IF(U$3=st_ca30_crise_an,1,IF(U$3=st_ca30_crise_an+1,2,0)),0)</f>
        <v/>
      </c>
      <c r="V10" s="21">
        <f>IF(st_ca30_crise_an&gt;0,IF(V$3=st_ca30_crise_an,1,IF(V$3=st_ca30_crise_an+1,2,0)),0)</f>
        <v/>
      </c>
      <c r="W10" s="21">
        <f>IF(st_ca30_crise_an&gt;0,IF(W$3=st_ca30_crise_an,1,IF(W$3=st_ca30_crise_an+1,2,0)),0)</f>
        <v/>
      </c>
      <c r="X10" s="21">
        <f>IF(st_ca30_crise_an&gt;0,IF(X$3=st_ca30_crise_an,1,IF(X$3=st_ca30_crise_an+1,2,0)),0)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(bud_chauffage_S2+bud_hors_gel_S2+bud_electricite_S2)*E7*IF(AND(E$3&gt;=st_ca30_energie_debut,E$3&lt;=st_ca30_energie_fin),st_ca30_energie_mult,1)</f>
        <v/>
      </c>
      <c r="F13" s="17">
        <f>(bud_chauffage_S2+bud_hors_gel_S2+bud_electricite_S2)*F7*IF(AND(F$3&gt;=st_ca30_energie_debut,F$3&lt;=st_ca30_energie_fin),st_ca30_energie_mult,1)</f>
        <v/>
      </c>
      <c r="G13" s="17">
        <f>(bud_chauffage_S2+bud_hors_gel_S2+bud_electricite_S2)*G7*IF(AND(G$3&gt;=st_ca30_energie_debut,G$3&lt;=st_ca30_energie_fin),st_ca30_energie_mult,1)</f>
        <v/>
      </c>
      <c r="H13" s="17">
        <f>(bud_chauffage_S2+bud_hors_gel_S2+bud_electricite_S2)*H7*IF(AND(H$3&gt;=st_ca30_energie_debut,H$3&lt;=st_ca30_energie_fin),st_ca30_energie_mult,1)</f>
        <v/>
      </c>
      <c r="I13" s="17">
        <f>(bud_chauffage_S2+bud_hors_gel_S2+bud_electricite_S2)*I7*IF(AND(I$3&gt;=st_ca30_energie_debut,I$3&lt;=st_ca30_energie_fin),st_ca30_energie_mult,1)</f>
        <v/>
      </c>
      <c r="J13" s="17">
        <f>(bud_chauffage_S2+bud_hors_gel_S2+bud_electricite_S2)*J7*IF(AND(J$3&gt;=st_ca30_energie_debut,J$3&lt;=st_ca30_energie_fin),st_ca30_energie_mult,1)</f>
        <v/>
      </c>
      <c r="K13" s="17">
        <f>(bud_chauffage_S2+bud_hors_gel_S2+bud_electricite_S2)*K7*IF(AND(K$3&gt;=st_ca30_energie_debut,K$3&lt;=st_ca30_energie_fin),st_ca30_energie_mult,1)</f>
        <v/>
      </c>
      <c r="L13" s="17">
        <f>(bud_chauffage_S2+bud_hors_gel_S2+bud_electricite_S2)*L7*IF(AND(L$3&gt;=st_ca30_energie_debut,L$3&lt;=st_ca30_energie_fin),st_ca30_energie_mult,1)</f>
        <v/>
      </c>
      <c r="M13" s="17">
        <f>(bud_chauffage_S2+bud_hors_gel_S2+bud_electricite_S2)*M7*IF(AND(M$3&gt;=st_ca30_energie_debut,M$3&lt;=st_ca30_energie_fin),st_ca30_energie_mult,1)</f>
        <v/>
      </c>
      <c r="N13" s="17">
        <f>(bud_chauffage_S2+bud_hors_gel_S2+bud_electricite_S2)*N7*IF(AND(N$3&gt;=st_ca30_energie_debut,N$3&lt;=st_ca30_energie_fin),st_ca30_energie_mult,1)</f>
        <v/>
      </c>
      <c r="O13" s="17">
        <f>(bud_chauffage_S2+bud_hors_gel_S2+bud_electricite_S2)*O7*IF(AND(O$3&gt;=st_ca30_energie_debut,O$3&lt;=st_ca30_energie_fin),st_ca30_energie_mult,1)</f>
        <v/>
      </c>
      <c r="P13" s="17">
        <f>(bud_chauffage_S2+bud_hors_gel_S2+bud_electricite_S2)*P7*IF(AND(P$3&gt;=st_ca30_energie_debut,P$3&lt;=st_ca30_energie_fin),st_ca30_energie_mult,1)</f>
        <v/>
      </c>
      <c r="Q13" s="17">
        <f>(bud_chauffage_S2+bud_hors_gel_S2+bud_electricite_S2)*Q7*IF(AND(Q$3&gt;=st_ca30_energie_debut,Q$3&lt;=st_ca30_energie_fin),st_ca30_energie_mult,1)</f>
        <v/>
      </c>
      <c r="R13" s="17">
        <f>(bud_chauffage_S2+bud_hors_gel_S2+bud_electricite_S2)*R7*IF(AND(R$3&gt;=st_ca30_energie_debut,R$3&lt;=st_ca30_energie_fin),st_ca30_energie_mult,1)</f>
        <v/>
      </c>
      <c r="S13" s="17">
        <f>(bud_chauffage_S2+bud_hors_gel_S2+bud_electricite_S2)*S7*IF(AND(S$3&gt;=st_ca30_energie_debut,S$3&lt;=st_ca30_energie_fin),st_ca30_energie_mult,1)</f>
        <v/>
      </c>
      <c r="T13" s="17">
        <f>(bud_chauffage_S2+bud_hors_gel_S2+bud_electricite_S2)*T7*IF(AND(T$3&gt;=st_ca30_energie_debut,T$3&lt;=st_ca30_energie_fin),st_ca30_energie_mult,1)</f>
        <v/>
      </c>
      <c r="U13" s="17">
        <f>(bud_chauffage_S2+bud_hors_gel_S2+bud_electricite_S2)*U7*IF(AND(U$3&gt;=st_ca30_energie_debut,U$3&lt;=st_ca30_energie_fin),st_ca30_energie_mult,1)</f>
        <v/>
      </c>
      <c r="V13" s="17">
        <f>(bud_chauffage_S2+bud_hors_gel_S2+bud_electricite_S2)*V7*IF(AND(V$3&gt;=st_ca30_energie_debut,V$3&lt;=st_ca30_energie_fin),st_ca30_energie_mult,1)</f>
        <v/>
      </c>
      <c r="W13" s="17">
        <f>(bud_chauffage_S2+bud_hors_gel_S2+bud_electricite_S2)*W7*IF(AND(W$3&gt;=st_ca30_energie_debut,W$3&lt;=st_ca30_energie_fin),st_ca30_energie_mult,1)</f>
        <v/>
      </c>
      <c r="X13" s="17">
        <f>(bud_chauffage_S2+bud_hors_gel_S2+bud_electricite_S2)*X7*IF(AND(X$3&gt;=st_ca30_energie_debut,X$3&lt;=st_ca30_energie_fin),st_ca30_energie_mult,1)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IF(MOD(E$3,campagne_periode)=0,(D20+E15)*st_ca30_mult_campagne*(1-E11*flex_report),0)</f>
        <v/>
      </c>
      <c r="F17" s="17">
        <f>IF(MOD(F$3,campagne_periode)=0,(E20+F15)*st_ca30_mult_campagne*(1-F11*flex_report),0)</f>
        <v/>
      </c>
      <c r="G17" s="17">
        <f>IF(MOD(G$3,campagne_periode)=0,(F20+G15)*st_ca30_mult_campagne*(1-G11*flex_report),0)</f>
        <v/>
      </c>
      <c r="H17" s="17">
        <f>IF(MOD(H$3,campagne_periode)=0,(G20+H15)*st_ca30_mult_campagne*(1-H11*flex_report),0)</f>
        <v/>
      </c>
      <c r="I17" s="17">
        <f>IF(MOD(I$3,campagne_periode)=0,(H20+I15)*st_ca30_mult_campagne*(1-I11*flex_report),0)</f>
        <v/>
      </c>
      <c r="J17" s="17">
        <f>IF(MOD(J$3,campagne_periode)=0,(I20+J15)*st_ca30_mult_campagne*(1-J11*flex_report),0)</f>
        <v/>
      </c>
      <c r="K17" s="17">
        <f>IF(MOD(K$3,campagne_periode)=0,(J20+K15)*st_ca30_mult_campagne*(1-K11*flex_report),0)</f>
        <v/>
      </c>
      <c r="L17" s="17">
        <f>IF(MOD(L$3,campagne_periode)=0,(K20+L15)*st_ca30_mult_campagne*(1-L11*flex_report),0)</f>
        <v/>
      </c>
      <c r="M17" s="17">
        <f>IF(MOD(M$3,campagne_periode)=0,(L20+M15)*st_ca30_mult_campagne*(1-M11*flex_report),0)</f>
        <v/>
      </c>
      <c r="N17" s="17">
        <f>IF(MOD(N$3,campagne_periode)=0,(M20+N15)*st_ca30_mult_campagne*(1-N11*flex_report),0)</f>
        <v/>
      </c>
      <c r="O17" s="17">
        <f>IF(MOD(O$3,campagne_periode)=0,(N20+O15)*st_ca30_mult_campagne*(1-O11*flex_report),0)</f>
        <v/>
      </c>
      <c r="P17" s="17">
        <f>IF(MOD(P$3,campagne_periode)=0,(O20+P15)*st_ca30_mult_campagne*(1-P11*flex_report),0)</f>
        <v/>
      </c>
      <c r="Q17" s="17">
        <f>IF(MOD(Q$3,campagne_periode)=0,(P20+Q15)*st_ca30_mult_campagne*(1-Q11*flex_report),0)</f>
        <v/>
      </c>
      <c r="R17" s="17">
        <f>IF(MOD(R$3,campagne_periode)=0,(Q20+R15)*st_ca30_mult_campagne*(1-R11*flex_report),0)</f>
        <v/>
      </c>
      <c r="S17" s="17">
        <f>IF(MOD(S$3,campagne_periode)=0,(R20+S15)*st_ca30_mult_campagne*(1-S11*flex_report),0)</f>
        <v/>
      </c>
      <c r="T17" s="17">
        <f>IF(MOD(T$3,campagne_periode)=0,(S20+T15)*st_ca30_mult_campagne*(1-T11*flex_report),0)</f>
        <v/>
      </c>
      <c r="U17" s="17">
        <f>IF(MOD(U$3,campagne_periode)=0,(T20+U15)*st_ca30_mult_campagne*(1-U11*flex_report),0)</f>
        <v/>
      </c>
      <c r="V17" s="17">
        <f>IF(MOD(V$3,campagne_periode)=0,(U20+V15)*st_ca30_mult_campagne*(1-V11*flex_report),0)</f>
        <v/>
      </c>
      <c r="W17" s="17">
        <f>IF(MOD(W$3,campagne_periode)=0,(V20+W15)*st_ca30_mult_campagne*(1-W11*flex_report),0)</f>
        <v/>
      </c>
      <c r="X17" s="17">
        <f>IF(MOD(X$3,campagne_periode)=0,(W20+X15)*st_ca30_mult_campagne*(1-X11*flex_report),0)</f>
        <v/>
      </c>
    </row>
    <row r="18">
      <c r="A18" s="2" t="inlineStr">
        <is>
          <t>choc_trav</t>
        </is>
      </c>
      <c r="B18" s="2" t="inlineStr">
        <is>
          <t>Sinistre ou découverte non assurés</t>
        </is>
      </c>
      <c r="C18" s="2" t="inlineStr">
        <is>
          <t>€ 2026</t>
        </is>
      </c>
      <c r="E18" s="17">
        <f>IF(E$3=st_ca30_choc_trav_an,st_ca30_choc_trav_montant,0)</f>
        <v/>
      </c>
      <c r="F18" s="17">
        <f>IF(F$3=st_ca30_choc_trav_an,st_ca30_choc_trav_montant,0)</f>
        <v/>
      </c>
      <c r="G18" s="17">
        <f>IF(G$3=st_ca30_choc_trav_an,st_ca30_choc_trav_montant,0)</f>
        <v/>
      </c>
      <c r="H18" s="17">
        <f>IF(H$3=st_ca30_choc_trav_an,st_ca30_choc_trav_montant,0)</f>
        <v/>
      </c>
      <c r="I18" s="17">
        <f>IF(I$3=st_ca30_choc_trav_an,st_ca30_choc_trav_montant,0)</f>
        <v/>
      </c>
      <c r="J18" s="17">
        <f>IF(J$3=st_ca30_choc_trav_an,st_ca30_choc_trav_montant,0)</f>
        <v/>
      </c>
      <c r="K18" s="17">
        <f>IF(K$3=st_ca30_choc_trav_an,st_ca30_choc_trav_montant,0)</f>
        <v/>
      </c>
      <c r="L18" s="17">
        <f>IF(L$3=st_ca30_choc_trav_an,st_ca30_choc_trav_montant,0)</f>
        <v/>
      </c>
      <c r="M18" s="17">
        <f>IF(M$3=st_ca30_choc_trav_an,st_ca30_choc_trav_montant,0)</f>
        <v/>
      </c>
      <c r="N18" s="17">
        <f>IF(N$3=st_ca30_choc_trav_an,st_ca30_choc_trav_montant,0)</f>
        <v/>
      </c>
      <c r="O18" s="17">
        <f>IF(O$3=st_ca30_choc_trav_an,st_ca30_choc_trav_montant,0)</f>
        <v/>
      </c>
      <c r="P18" s="17">
        <f>IF(P$3=st_ca30_choc_trav_an,st_ca30_choc_trav_montant,0)</f>
        <v/>
      </c>
      <c r="Q18" s="17">
        <f>IF(Q$3=st_ca30_choc_trav_an,st_ca30_choc_trav_montant,0)</f>
        <v/>
      </c>
      <c r="R18" s="17">
        <f>IF(R$3=st_ca30_choc_trav_an,st_ca30_choc_trav_montant,0)</f>
        <v/>
      </c>
      <c r="S18" s="17">
        <f>IF(S$3=st_ca30_choc_trav_an,st_ca30_choc_trav_montant,0)</f>
        <v/>
      </c>
      <c r="T18" s="17">
        <f>IF(T$3=st_ca30_choc_trav_an,st_ca30_choc_trav_montant,0)</f>
        <v/>
      </c>
      <c r="U18" s="17">
        <f>IF(U$3=st_ca30_choc_trav_an,st_ca30_choc_trav_montant,0)</f>
        <v/>
      </c>
      <c r="V18" s="17">
        <f>IF(V$3=st_ca30_choc_trav_an,st_ca30_choc_trav_montant,0)</f>
        <v/>
      </c>
      <c r="W18" s="17">
        <f>IF(W$3=st_ca30_choc_trav_an,st_ca30_choc_trav_montant,0)</f>
        <v/>
      </c>
      <c r="X18" s="17">
        <f>IF(X$3=st_ca30_choc_trav_an,st_ca30_choc_trav_montant,0)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(S2_ech_log*mot_log_cn+S2_ech_stock*mot_stock_cn+S2_ech_pv*mot_pv_cn+S2_ech_bois*mot_bois_cn)*E22*E8*IF(E$3&gt;=st_ca30_debut_mult,st_ca30_mult_A,1)*IF(E10=1,1-0.05,IF(E10=2,1-0.02,1))</f>
        <v/>
      </c>
      <c r="F23" s="17">
        <f>(S2_ech_log*mot_log_cn+S2_ech_stock*mot_stock_cn+S2_ech_pv*mot_pv_cn+S2_ech_bois*mot_bois_cn)*F22*F8*IF(F$3&gt;=st_ca30_debut_mult,st_ca30_mult_A,1)*IF(F10=1,1-0.05,IF(F10=2,1-0.02,1))</f>
        <v/>
      </c>
      <c r="G23" s="17">
        <f>(S2_ech_log*mot_log_cn+S2_ech_stock*mot_stock_cn+S2_ech_pv*mot_pv_cn+S2_ech_bois*mot_bois_cn)*G22*G8*IF(G$3&gt;=st_ca30_debut_mult,st_ca30_mult_A,1)*IF(G10=1,1-0.05,IF(G10=2,1-0.02,1))</f>
        <v/>
      </c>
      <c r="H23" s="17">
        <f>(S2_ech_log*mot_log_cn+S2_ech_stock*mot_stock_cn+S2_ech_pv*mot_pv_cn+S2_ech_bois*mot_bois_cn)*H22*H8*IF(H$3&gt;=st_ca30_debut_mult,st_ca30_mult_A,1)*IF(H10=1,1-0.05,IF(H10=2,1-0.02,1))</f>
        <v/>
      </c>
      <c r="I23" s="17">
        <f>(S2_ech_log*mot_log_cn+S2_ech_stock*mot_stock_cn+S2_ech_pv*mot_pv_cn+S2_ech_bois*mot_bois_cn)*I22*I8*IF(I$3&gt;=st_ca30_debut_mult,st_ca30_mult_A,1)*IF(I10=1,1-0.05,IF(I10=2,1-0.02,1))</f>
        <v/>
      </c>
      <c r="J23" s="17">
        <f>(S2_ech_log*mot_log_cn+S2_ech_stock*mot_stock_cn+S2_ech_pv*mot_pv_cn+S2_ech_bois*mot_bois_cn)*J22*J8*IF(J$3&gt;=st_ca30_debut_mult,st_ca30_mult_A,1)*IF(J10=1,1-0.05,IF(J10=2,1-0.02,1))</f>
        <v/>
      </c>
      <c r="K23" s="17">
        <f>(S2_ech_log*mot_log_cn+S2_ech_stock*mot_stock_cn+S2_ech_pv*mot_pv_cn+S2_ech_bois*mot_bois_cn)*K22*K8*IF(K$3&gt;=st_ca30_debut_mult,st_ca30_mult_A,1)*IF(K10=1,1-0.05,IF(K10=2,1-0.02,1))</f>
        <v/>
      </c>
      <c r="L23" s="17">
        <f>(S2_ech_log*mot_log_cn+S2_ech_stock*mot_stock_cn+S2_ech_pv*mot_pv_cn+S2_ech_bois*mot_bois_cn)*L22*L8*IF(L$3&gt;=st_ca30_debut_mult,st_ca30_mult_A,1)*IF(L10=1,1-0.05,IF(L10=2,1-0.02,1))</f>
        <v/>
      </c>
      <c r="M23" s="17">
        <f>(S2_ech_log*mot_log_cn+S2_ech_stock*mot_stock_cn+S2_ech_pv*mot_pv_cn+S2_ech_bois*mot_bois_cn)*M22*M8*IF(M$3&gt;=st_ca30_debut_mult,st_ca30_mult_A,1)*IF(M10=1,1-0.05,IF(M10=2,1-0.02,1))</f>
        <v/>
      </c>
      <c r="N23" s="17">
        <f>(S2_ech_log*mot_log_cn+S2_ech_stock*mot_stock_cn+S2_ech_pv*mot_pv_cn+S2_ech_bois*mot_bois_cn)*N22*N8*IF(N$3&gt;=st_ca30_debut_mult,st_ca30_mult_A,1)*IF(N10=1,1-0.05,IF(N10=2,1-0.02,1))</f>
        <v/>
      </c>
      <c r="O23" s="17">
        <f>(S2_ech_log*mot_log_cn+S2_ech_stock*mot_stock_cn+S2_ech_pv*mot_pv_cn+S2_ech_bois*mot_bois_cn)*O22*O8*IF(O$3&gt;=st_ca30_debut_mult,st_ca30_mult_A,1)*IF(O10=1,1-0.05,IF(O10=2,1-0.02,1))</f>
        <v/>
      </c>
      <c r="P23" s="17">
        <f>(S2_ech_log*mot_log_cn+S2_ech_stock*mot_stock_cn+S2_ech_pv*mot_pv_cn+S2_ech_bois*mot_bois_cn)*P22*P8*IF(P$3&gt;=st_ca30_debut_mult,st_ca30_mult_A,1)*IF(P10=1,1-0.05,IF(P10=2,1-0.02,1))</f>
        <v/>
      </c>
      <c r="Q23" s="17">
        <f>(S2_ech_log*mot_log_cn+S2_ech_stock*mot_stock_cn+S2_ech_pv*mot_pv_cn+S2_ech_bois*mot_bois_cn)*Q22*Q8*IF(Q$3&gt;=st_ca30_debut_mult,st_ca30_mult_A,1)*IF(Q10=1,1-0.05,IF(Q10=2,1-0.02,1))</f>
        <v/>
      </c>
      <c r="R23" s="17">
        <f>(S2_ech_log*mot_log_cn+S2_ech_stock*mot_stock_cn+S2_ech_pv*mot_pv_cn+S2_ech_bois*mot_bois_cn)*R22*R8*IF(R$3&gt;=st_ca30_debut_mult,st_ca30_mult_A,1)*IF(R10=1,1-0.05,IF(R10=2,1-0.02,1))</f>
        <v/>
      </c>
      <c r="S23" s="17">
        <f>(S2_ech_log*mot_log_cn+S2_ech_stock*mot_stock_cn+S2_ech_pv*mot_pv_cn+S2_ech_bois*mot_bois_cn)*S22*S8*IF(S$3&gt;=st_ca30_debut_mult,st_ca30_mult_A,1)*IF(S10=1,1-0.05,IF(S10=2,1-0.02,1))</f>
        <v/>
      </c>
      <c r="T23" s="17">
        <f>(S2_ech_log*mot_log_cn+S2_ech_stock*mot_stock_cn+S2_ech_pv*mot_pv_cn+S2_ech_bois*mot_bois_cn)*T22*T8*IF(T$3&gt;=st_ca30_debut_mult,st_ca30_mult_A,1)*IF(T10=1,1-0.05,IF(T10=2,1-0.02,1))</f>
        <v/>
      </c>
      <c r="U23" s="17">
        <f>(S2_ech_log*mot_log_cn+S2_ech_stock*mot_stock_cn+S2_ech_pv*mot_pv_cn+S2_ech_bois*mot_bois_cn)*U22*U8*IF(U$3&gt;=st_ca30_debut_mult,st_ca30_mult_A,1)*IF(U10=1,1-0.05,IF(U10=2,1-0.02,1))</f>
        <v/>
      </c>
      <c r="V23" s="17">
        <f>(S2_ech_log*mot_log_cn+S2_ech_stock*mot_stock_cn+S2_ech_pv*mot_pv_cn+S2_ech_bois*mot_bois_cn)*V22*V8*IF(V$3&gt;=st_ca30_debut_mult,st_ca30_mult_A,1)*IF(V10=1,1-0.05,IF(V10=2,1-0.02,1))</f>
        <v/>
      </c>
      <c r="W23" s="17">
        <f>(S2_ech_log*mot_log_cn+S2_ech_stock*mot_stock_cn+S2_ech_pv*mot_pv_cn+S2_ech_bois*mot_bois_cn)*W22*W8*IF(W$3&gt;=st_ca30_debut_mult,st_ca30_mult_A,1)*IF(W10=1,1-0.05,IF(W10=2,1-0.02,1))</f>
        <v/>
      </c>
      <c r="X23" s="17">
        <f>(S2_ech_log*mot_log_cn+S2_ech_stock*mot_stock_cn+S2_ech_pv*mot_pv_cn+S2_ech_bois*mot_bois_cn)*X22*X8*IF(X$3&gt;=st_ca30_debut_mult,st_ca30_mult_A,1)*IF(X10=1,1-0.05,IF(X10=2,1-0.02,1))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(S2_ech_eq_std*mot_eq_std_cn+S2_ech_eq_ret*mot_eq_ret_cn)*E22*E8*IF(E$3&gt;=st_ca30_debut_mult,st_ca30_mult_B,1)*IF(E10=1,1-0.15,IF(E10=2,1-0.05,1))</f>
        <v/>
      </c>
      <c r="F24" s="17">
        <f>(S2_ech_eq_std*mot_eq_std_cn+S2_ech_eq_ret*mot_eq_ret_cn)*F22*F8*IF(F$3&gt;=st_ca30_debut_mult,st_ca30_mult_B,1)*IF(F10=1,1-0.15,IF(F10=2,1-0.05,1))</f>
        <v/>
      </c>
      <c r="G24" s="17">
        <f>(S2_ech_eq_std*mot_eq_std_cn+S2_ech_eq_ret*mot_eq_ret_cn)*G22*G8*IF(G$3&gt;=st_ca30_debut_mult,st_ca30_mult_B,1)*IF(G10=1,1-0.15,IF(G10=2,1-0.05,1))</f>
        <v/>
      </c>
      <c r="H24" s="17">
        <f>(S2_ech_eq_std*mot_eq_std_cn+S2_ech_eq_ret*mot_eq_ret_cn)*H22*H8*IF(H$3&gt;=st_ca30_debut_mult,st_ca30_mult_B,1)*IF(H10=1,1-0.15,IF(H10=2,1-0.05,1))</f>
        <v/>
      </c>
      <c r="I24" s="17">
        <f>(S2_ech_eq_std*mot_eq_std_cn+S2_ech_eq_ret*mot_eq_ret_cn)*I22*I8*IF(I$3&gt;=st_ca30_debut_mult,st_ca30_mult_B,1)*IF(I10=1,1-0.15,IF(I10=2,1-0.05,1))</f>
        <v/>
      </c>
      <c r="J24" s="17">
        <f>(S2_ech_eq_std*mot_eq_std_cn+S2_ech_eq_ret*mot_eq_ret_cn)*J22*J8*IF(J$3&gt;=st_ca30_debut_mult,st_ca30_mult_B,1)*IF(J10=1,1-0.15,IF(J10=2,1-0.05,1))</f>
        <v/>
      </c>
      <c r="K24" s="17">
        <f>(S2_ech_eq_std*mot_eq_std_cn+S2_ech_eq_ret*mot_eq_ret_cn)*K22*K8*IF(K$3&gt;=st_ca30_debut_mult,st_ca30_mult_B,1)*IF(K10=1,1-0.15,IF(K10=2,1-0.05,1))</f>
        <v/>
      </c>
      <c r="L24" s="17">
        <f>(S2_ech_eq_std*mot_eq_std_cn+S2_ech_eq_ret*mot_eq_ret_cn)*L22*L8*IF(L$3&gt;=st_ca30_debut_mult,st_ca30_mult_B,1)*IF(L10=1,1-0.15,IF(L10=2,1-0.05,1))</f>
        <v/>
      </c>
      <c r="M24" s="17">
        <f>(S2_ech_eq_std*mot_eq_std_cn+S2_ech_eq_ret*mot_eq_ret_cn)*M22*M8*IF(M$3&gt;=st_ca30_debut_mult,st_ca30_mult_B,1)*IF(M10=1,1-0.15,IF(M10=2,1-0.05,1))</f>
        <v/>
      </c>
      <c r="N24" s="17">
        <f>(S2_ech_eq_std*mot_eq_std_cn+S2_ech_eq_ret*mot_eq_ret_cn)*N22*N8*IF(N$3&gt;=st_ca30_debut_mult,st_ca30_mult_B,1)*IF(N10=1,1-0.15,IF(N10=2,1-0.05,1))</f>
        <v/>
      </c>
      <c r="O24" s="17">
        <f>(S2_ech_eq_std*mot_eq_std_cn+S2_ech_eq_ret*mot_eq_ret_cn)*O22*O8*IF(O$3&gt;=st_ca30_debut_mult,st_ca30_mult_B,1)*IF(O10=1,1-0.15,IF(O10=2,1-0.05,1))</f>
        <v/>
      </c>
      <c r="P24" s="17">
        <f>(S2_ech_eq_std*mot_eq_std_cn+S2_ech_eq_ret*mot_eq_ret_cn)*P22*P8*IF(P$3&gt;=st_ca30_debut_mult,st_ca30_mult_B,1)*IF(P10=1,1-0.15,IF(P10=2,1-0.05,1))</f>
        <v/>
      </c>
      <c r="Q24" s="17">
        <f>(S2_ech_eq_std*mot_eq_std_cn+S2_ech_eq_ret*mot_eq_ret_cn)*Q22*Q8*IF(Q$3&gt;=st_ca30_debut_mult,st_ca30_mult_B,1)*IF(Q10=1,1-0.15,IF(Q10=2,1-0.05,1))</f>
        <v/>
      </c>
      <c r="R24" s="17">
        <f>(S2_ech_eq_std*mot_eq_std_cn+S2_ech_eq_ret*mot_eq_ret_cn)*R22*R8*IF(R$3&gt;=st_ca30_debut_mult,st_ca30_mult_B,1)*IF(R10=1,1-0.15,IF(R10=2,1-0.05,1))</f>
        <v/>
      </c>
      <c r="S24" s="17">
        <f>(S2_ech_eq_std*mot_eq_std_cn+S2_ech_eq_ret*mot_eq_ret_cn)*S22*S8*IF(S$3&gt;=st_ca30_debut_mult,st_ca30_mult_B,1)*IF(S10=1,1-0.15,IF(S10=2,1-0.05,1))</f>
        <v/>
      </c>
      <c r="T24" s="17">
        <f>(S2_ech_eq_std*mot_eq_std_cn+S2_ech_eq_ret*mot_eq_ret_cn)*T22*T8*IF(T$3&gt;=st_ca30_debut_mult,st_ca30_mult_B,1)*IF(T10=1,1-0.15,IF(T10=2,1-0.05,1))</f>
        <v/>
      </c>
      <c r="U24" s="17">
        <f>(S2_ech_eq_std*mot_eq_std_cn+S2_ech_eq_ret*mot_eq_ret_cn)*U22*U8*IF(U$3&gt;=st_ca30_debut_mult,st_ca30_mult_B,1)*IF(U10=1,1-0.15,IF(U10=2,1-0.05,1))</f>
        <v/>
      </c>
      <c r="V24" s="17">
        <f>(S2_ech_eq_std*mot_eq_std_cn+S2_ech_eq_ret*mot_eq_ret_cn)*V22*V8*IF(V$3&gt;=st_ca30_debut_mult,st_ca30_mult_B,1)*IF(V10=1,1-0.15,IF(V10=2,1-0.05,1))</f>
        <v/>
      </c>
      <c r="W24" s="17">
        <f>(S2_ech_eq_std*mot_eq_std_cn+S2_ech_eq_ret*mot_eq_ret_cn)*W22*W8*IF(W$3&gt;=st_ca30_debut_mult,st_ca30_mult_B,1)*IF(W10=1,1-0.15,IF(W10=2,1-0.05,1))</f>
        <v/>
      </c>
      <c r="X24" s="17">
        <f>(S2_ech_eq_std*mot_eq_std_cn+S2_ech_eq_ret*mot_eq_ret_cn)*X22*X8*IF(X$3&gt;=st_ca30_debut_mult,st_ca30_mult_B,1)*IF(X10=1,1-0.15,IF(X10=2,1-0.05,1))</f>
        <v/>
      </c>
    </row>
    <row r="25">
      <c r="A25" s="2" t="inlineStr">
        <is>
          <t>act_C</t>
        </is>
      </c>
      <c r="B25" s="2" t="inlineStr">
        <is>
          <t>Contribution des activités occasionnelles (classe C)</t>
        </is>
      </c>
      <c r="C25" s="2" t="inlineStr">
        <is>
          <t>€ 2026</t>
        </is>
      </c>
      <c r="E25" s="17">
        <f>(S2_ech_tourn*mot_tourn_cn)*E22*E8*IF(E$3&gt;=st_ca30_debut_mult,st_ca30_mult_C,1)*IF(E10=1,1-0.8,IF(E10=2,1-0.3,1))</f>
        <v/>
      </c>
      <c r="F25" s="17">
        <f>(S2_ech_tourn*mot_tourn_cn)*F22*F8*IF(F$3&gt;=st_ca30_debut_mult,st_ca30_mult_C,1)*IF(F10=1,1-0.8,IF(F10=2,1-0.3,1))</f>
        <v/>
      </c>
      <c r="G25" s="17">
        <f>(S2_ech_tourn*mot_tourn_cn)*G22*G8*IF(G$3&gt;=st_ca30_debut_mult,st_ca30_mult_C,1)*IF(G10=1,1-0.8,IF(G10=2,1-0.3,1))</f>
        <v/>
      </c>
      <c r="H25" s="17">
        <f>(S2_ech_tourn*mot_tourn_cn)*H22*H8*IF(H$3&gt;=st_ca30_debut_mult,st_ca30_mult_C,1)*IF(H10=1,1-0.8,IF(H10=2,1-0.3,1))</f>
        <v/>
      </c>
      <c r="I25" s="17">
        <f>(S2_ech_tourn*mot_tourn_cn)*I22*I8*IF(I$3&gt;=st_ca30_debut_mult,st_ca30_mult_C,1)*IF(I10=1,1-0.8,IF(I10=2,1-0.3,1))</f>
        <v/>
      </c>
      <c r="J25" s="17">
        <f>(S2_ech_tourn*mot_tourn_cn)*J22*J8*IF(J$3&gt;=st_ca30_debut_mult,st_ca30_mult_C,1)*IF(J10=1,1-0.8,IF(J10=2,1-0.3,1))</f>
        <v/>
      </c>
      <c r="K25" s="17">
        <f>(S2_ech_tourn*mot_tourn_cn)*K22*K8*IF(K$3&gt;=st_ca30_debut_mult,st_ca30_mult_C,1)*IF(K10=1,1-0.8,IF(K10=2,1-0.3,1))</f>
        <v/>
      </c>
      <c r="L25" s="17">
        <f>(S2_ech_tourn*mot_tourn_cn)*L22*L8*IF(L$3&gt;=st_ca30_debut_mult,st_ca30_mult_C,1)*IF(L10=1,1-0.8,IF(L10=2,1-0.3,1))</f>
        <v/>
      </c>
      <c r="M25" s="17">
        <f>(S2_ech_tourn*mot_tourn_cn)*M22*M8*IF(M$3&gt;=st_ca30_debut_mult,st_ca30_mult_C,1)*IF(M10=1,1-0.8,IF(M10=2,1-0.3,1))</f>
        <v/>
      </c>
      <c r="N25" s="17">
        <f>(S2_ech_tourn*mot_tourn_cn)*N22*N8*IF(N$3&gt;=st_ca30_debut_mult,st_ca30_mult_C,1)*IF(N10=1,1-0.8,IF(N10=2,1-0.3,1))</f>
        <v/>
      </c>
      <c r="O25" s="17">
        <f>(S2_ech_tourn*mot_tourn_cn)*O22*O8*IF(O$3&gt;=st_ca30_debut_mult,st_ca30_mult_C,1)*IF(O10=1,1-0.8,IF(O10=2,1-0.3,1))</f>
        <v/>
      </c>
      <c r="P25" s="17">
        <f>(S2_ech_tourn*mot_tourn_cn)*P22*P8*IF(P$3&gt;=st_ca30_debut_mult,st_ca30_mult_C,1)*IF(P10=1,1-0.8,IF(P10=2,1-0.3,1))</f>
        <v/>
      </c>
      <c r="Q25" s="17">
        <f>(S2_ech_tourn*mot_tourn_cn)*Q22*Q8*IF(Q$3&gt;=st_ca30_debut_mult,st_ca30_mult_C,1)*IF(Q10=1,1-0.8,IF(Q10=2,1-0.3,1))</f>
        <v/>
      </c>
      <c r="R25" s="17">
        <f>(S2_ech_tourn*mot_tourn_cn)*R22*R8*IF(R$3&gt;=st_ca30_debut_mult,st_ca30_mult_C,1)*IF(R10=1,1-0.8,IF(R10=2,1-0.3,1))</f>
        <v/>
      </c>
      <c r="S25" s="17">
        <f>(S2_ech_tourn*mot_tourn_cn)*S22*S8*IF(S$3&gt;=st_ca30_debut_mult,st_ca30_mult_C,1)*IF(S10=1,1-0.8,IF(S10=2,1-0.3,1))</f>
        <v/>
      </c>
      <c r="T25" s="17">
        <f>(S2_ech_tourn*mot_tourn_cn)*T22*T8*IF(T$3&gt;=st_ca30_debut_mult,st_ca30_mult_C,1)*IF(T10=1,1-0.8,IF(T10=2,1-0.3,1))</f>
        <v/>
      </c>
      <c r="U25" s="17">
        <f>(S2_ech_tourn*mot_tourn_cn)*U22*U8*IF(U$3&gt;=st_ca30_debut_mult,st_ca30_mult_C,1)*IF(U10=1,1-0.8,IF(U10=2,1-0.3,1))</f>
        <v/>
      </c>
      <c r="V25" s="17">
        <f>(S2_ech_tourn*mot_tourn_cn)*V22*V8*IF(V$3&gt;=st_ca30_debut_mult,st_ca30_mult_C,1)*IF(V10=1,1-0.8,IF(V10=2,1-0.3,1))</f>
        <v/>
      </c>
      <c r="W25" s="17">
        <f>(S2_ech_tourn*mot_tourn_cn)*W22*W8*IF(W$3&gt;=st_ca30_debut_mult,st_ca30_mult_C,1)*IF(W10=1,1-0.8,IF(W10=2,1-0.3,1))</f>
        <v/>
      </c>
      <c r="X25" s="17">
        <f>(S2_ech_tourn*mot_tourn_cn)*X22*X8*IF(X$3&gt;=st_ca30_debut_mult,st_ca30_mult_C,1)*IF(X10=1,1-0.8,IF(X10=2,1-0.3,1))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IF(AND(E$3&lt;=S2_sol_div_annees,E$3&lt;=st_ca30_div_fin),S2_sol_div*IF(E10=1,0.5,1),0)</f>
        <v/>
      </c>
      <c r="F33" s="17">
        <f>IF(AND(F$3&lt;=S2_sol_div_annees,F$3&lt;=st_ca30_div_fin),S2_sol_div*IF(F10=1,0.5,1),0)</f>
        <v/>
      </c>
      <c r="G33" s="17">
        <f>IF(AND(G$3&lt;=S2_sol_div_annees,G$3&lt;=st_ca30_div_fin),S2_sol_div*IF(G10=1,0.5,1),0)</f>
        <v/>
      </c>
      <c r="H33" s="17">
        <f>IF(AND(H$3&lt;=S2_sol_div_annees,H$3&lt;=st_ca30_div_fin),S2_sol_div*IF(H10=1,0.5,1),0)</f>
        <v/>
      </c>
      <c r="I33" s="17">
        <f>IF(AND(I$3&lt;=S2_sol_div_annees,I$3&lt;=st_ca30_div_fin),S2_sol_div*IF(I10=1,0.5,1),0)</f>
        <v/>
      </c>
      <c r="J33" s="17">
        <f>IF(AND(J$3&lt;=S2_sol_div_annees,J$3&lt;=st_ca30_div_fin),S2_sol_div*IF(J10=1,0.5,1),0)</f>
        <v/>
      </c>
      <c r="K33" s="17">
        <f>IF(AND(K$3&lt;=S2_sol_div_annees,K$3&lt;=st_ca30_div_fin),S2_sol_div*IF(K10=1,0.5,1),0)</f>
        <v/>
      </c>
      <c r="L33" s="17">
        <f>IF(AND(L$3&lt;=S2_sol_div_annees,L$3&lt;=st_ca30_div_fin),S2_sol_div*IF(L10=1,0.5,1),0)</f>
        <v/>
      </c>
      <c r="M33" s="17">
        <f>IF(AND(M$3&lt;=S2_sol_div_annees,M$3&lt;=st_ca30_div_fin),S2_sol_div*IF(M10=1,0.5,1),0)</f>
        <v/>
      </c>
      <c r="N33" s="17">
        <f>IF(AND(N$3&lt;=S2_sol_div_annees,N$3&lt;=st_ca30_div_fin),S2_sol_div*IF(N10=1,0.5,1),0)</f>
        <v/>
      </c>
      <c r="O33" s="17">
        <f>IF(AND(O$3&lt;=S2_sol_div_annees,O$3&lt;=st_ca30_div_fin),S2_sol_div*IF(O10=1,0.5,1),0)</f>
        <v/>
      </c>
      <c r="P33" s="17">
        <f>IF(AND(P$3&lt;=S2_sol_div_annees,P$3&lt;=st_ca30_div_fin),S2_sol_div*IF(P10=1,0.5,1),0)</f>
        <v/>
      </c>
      <c r="Q33" s="17">
        <f>IF(AND(Q$3&lt;=S2_sol_div_annees,Q$3&lt;=st_ca30_div_fin),S2_sol_div*IF(Q10=1,0.5,1),0)</f>
        <v/>
      </c>
      <c r="R33" s="17">
        <f>IF(AND(R$3&lt;=S2_sol_div_annees,R$3&lt;=st_ca30_div_fin),S2_sol_div*IF(R10=1,0.5,1),0)</f>
        <v/>
      </c>
      <c r="S33" s="17">
        <f>IF(AND(S$3&lt;=S2_sol_div_annees,S$3&lt;=st_ca30_div_fin),S2_sol_div*IF(S10=1,0.5,1),0)</f>
        <v/>
      </c>
      <c r="T33" s="17">
        <f>IF(AND(T$3&lt;=S2_sol_div_annees,T$3&lt;=st_ca30_div_fin),S2_sol_div*IF(T10=1,0.5,1),0)</f>
        <v/>
      </c>
      <c r="U33" s="17">
        <f>IF(AND(U$3&lt;=S2_sol_div_annees,U$3&lt;=st_ca30_div_fin),S2_sol_div*IF(U10=1,0.5,1),0)</f>
        <v/>
      </c>
      <c r="V33" s="17">
        <f>IF(AND(V$3&lt;=S2_sol_div_annees,V$3&lt;=st_ca30_div_fin),S2_sol_div*IF(V10=1,0.5,1),0)</f>
        <v/>
      </c>
      <c r="W33" s="17">
        <f>IF(AND(W$3&lt;=S2_sol_div_annees,W$3&lt;=st_ca30_div_fin),S2_sol_div*IF(W10=1,0.5,1),0)</f>
        <v/>
      </c>
      <c r="X33" s="17">
        <f>IF(AND(X$3&lt;=S2_sol_div_annees,X$3&lt;=st_ca30_div_fin),S2_sol_div*IF(X10=1,0.5,1),0)</f>
        <v/>
      </c>
    </row>
    <row r="34">
      <c r="A34" s="2" t="inlineStr">
        <is>
          <t>rdt_dot</t>
        </is>
      </c>
      <c r="B34" s="2" t="inlineStr">
        <is>
          <t>Rendement réel de la dotation de l'année</t>
        </is>
      </c>
      <c r="C34" s="2" t="inlineStr">
        <is>
          <t>%</t>
        </is>
      </c>
      <c r="E34" s="20">
        <f>dot_rendement+st_ca30_dot_rdt_delta+IF(E10=1,-0.25,0)</f>
        <v/>
      </c>
      <c r="F34" s="20">
        <f>dot_rendement+st_ca30_dot_rdt_delta+IF(F10=1,-0.25,0)</f>
        <v/>
      </c>
      <c r="G34" s="20">
        <f>dot_rendement+st_ca30_dot_rdt_delta+IF(G10=1,-0.25,0)</f>
        <v/>
      </c>
      <c r="H34" s="20">
        <f>dot_rendement+st_ca30_dot_rdt_delta+IF(H10=1,-0.25,0)</f>
        <v/>
      </c>
      <c r="I34" s="20">
        <f>dot_rendement+st_ca30_dot_rdt_delta+IF(I10=1,-0.25,0)</f>
        <v/>
      </c>
      <c r="J34" s="20">
        <f>dot_rendement+st_ca30_dot_rdt_delta+IF(J10=1,-0.25,0)</f>
        <v/>
      </c>
      <c r="K34" s="20">
        <f>dot_rendement+st_ca30_dot_rdt_delta+IF(K10=1,-0.25,0)</f>
        <v/>
      </c>
      <c r="L34" s="20">
        <f>dot_rendement+st_ca30_dot_rdt_delta+IF(L10=1,-0.25,0)</f>
        <v/>
      </c>
      <c r="M34" s="20">
        <f>dot_rendement+st_ca30_dot_rdt_delta+IF(M10=1,-0.25,0)</f>
        <v/>
      </c>
      <c r="N34" s="20">
        <f>dot_rendement+st_ca30_dot_rdt_delta+IF(N10=1,-0.25,0)</f>
        <v/>
      </c>
      <c r="O34" s="20">
        <f>dot_rendement+st_ca30_dot_rdt_delta+IF(O10=1,-0.25,0)</f>
        <v/>
      </c>
      <c r="P34" s="20">
        <f>dot_rendement+st_ca30_dot_rdt_delta+IF(P10=1,-0.25,0)</f>
        <v/>
      </c>
      <c r="Q34" s="20">
        <f>dot_rendement+st_ca30_dot_rdt_delta+IF(Q10=1,-0.25,0)</f>
        <v/>
      </c>
      <c r="R34" s="20">
        <f>dot_rendement+st_ca30_dot_rdt_delta+IF(R10=1,-0.25,0)</f>
        <v/>
      </c>
      <c r="S34" s="20">
        <f>dot_rendement+st_ca30_dot_rdt_delta+IF(S10=1,-0.25,0)</f>
        <v/>
      </c>
      <c r="T34" s="20">
        <f>dot_rendement+st_ca30_dot_rdt_delta+IF(T10=1,-0.25,0)</f>
        <v/>
      </c>
      <c r="U34" s="20">
        <f>dot_rendement+st_ca30_dot_rdt_delta+IF(U10=1,-0.25,0)</f>
        <v/>
      </c>
      <c r="V34" s="20">
        <f>dot_rendement+st_ca30_dot_rdt_delta+IF(V10=1,-0.25,0)</f>
        <v/>
      </c>
      <c r="W34" s="20">
        <f>dot_rendement+st_ca30_dot_rdt_delta+IF(W10=1,-0.25,0)</f>
        <v/>
      </c>
      <c r="X34" s="20">
        <f>dot_rendement+st_ca30_dot_rdt_delta+IF(X10=1,-0.25,0)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Crise de type 2020 en année 5 (C −80 %, B −15 %, A −5 % ; dotation −25 % ; dividendes −50 %), reprise partielle en année 6</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D5*(1+g_salaires+st_crise_g_sal_extra)</f>
        <v/>
      </c>
      <c r="F5" s="21">
        <f>E5*(1+g_salaires+st_crise_g_sal_extra)</f>
        <v/>
      </c>
      <c r="G5" s="21">
        <f>F5*(1+g_salaires+st_crise_g_sal_extra)</f>
        <v/>
      </c>
      <c r="H5" s="21">
        <f>G5*(1+g_salaires+st_crise_g_sal_extra)</f>
        <v/>
      </c>
      <c r="I5" s="21">
        <f>H5*(1+g_salaires+st_crise_g_sal_extra)</f>
        <v/>
      </c>
      <c r="J5" s="21">
        <f>I5*(1+g_salaires+st_crise_g_sal_extra)</f>
        <v/>
      </c>
      <c r="K5" s="21">
        <f>J5*(1+g_salaires+st_crise_g_sal_extra)</f>
        <v/>
      </c>
      <c r="L5" s="21">
        <f>K5*(1+g_salaires+st_crise_g_sal_extra)</f>
        <v/>
      </c>
      <c r="M5" s="21">
        <f>L5*(1+g_salaires+st_crise_g_sal_extra)</f>
        <v/>
      </c>
      <c r="N5" s="21">
        <f>M5*(1+g_salaires+st_crise_g_sal_extra)</f>
        <v/>
      </c>
      <c r="O5" s="21">
        <f>N5*(1+g_salaires+st_crise_g_sal_extra)</f>
        <v/>
      </c>
      <c r="P5" s="21">
        <f>O5*(1+g_salaires+st_crise_g_sal_extra)</f>
        <v/>
      </c>
      <c r="Q5" s="21">
        <f>P5*(1+g_salaires+st_crise_g_sal_extra)</f>
        <v/>
      </c>
      <c r="R5" s="21">
        <f>Q5*(1+g_salaires+st_crise_g_sal_extra)</f>
        <v/>
      </c>
      <c r="S5" s="21">
        <f>R5*(1+g_salaires+st_crise_g_sal_extra)</f>
        <v/>
      </c>
      <c r="T5" s="21">
        <f>S5*(1+g_salaires+st_crise_g_sal_extra)</f>
        <v/>
      </c>
      <c r="U5" s="21">
        <f>T5*(1+g_salaires+st_crise_g_sal_extra)</f>
        <v/>
      </c>
      <c r="V5" s="21">
        <f>U5*(1+g_salaires+st_crise_g_sal_extra)</f>
        <v/>
      </c>
      <c r="W5" s="21">
        <f>V5*(1+g_salaires+st_crise_g_sal_extra)</f>
        <v/>
      </c>
      <c r="X5" s="21">
        <f>W5*(1+g_salaires+st_crise_g_sal_extra)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IF(st_crise_crise_an&gt;0,IF(E$3=st_crise_crise_an,1,IF(E$3=st_crise_crise_an+1,2,0)),0)</f>
        <v/>
      </c>
      <c r="F10" s="21">
        <f>IF(st_crise_crise_an&gt;0,IF(F$3=st_crise_crise_an,1,IF(F$3=st_crise_crise_an+1,2,0)),0)</f>
        <v/>
      </c>
      <c r="G10" s="21">
        <f>IF(st_crise_crise_an&gt;0,IF(G$3=st_crise_crise_an,1,IF(G$3=st_crise_crise_an+1,2,0)),0)</f>
        <v/>
      </c>
      <c r="H10" s="21">
        <f>IF(st_crise_crise_an&gt;0,IF(H$3=st_crise_crise_an,1,IF(H$3=st_crise_crise_an+1,2,0)),0)</f>
        <v/>
      </c>
      <c r="I10" s="21">
        <f>IF(st_crise_crise_an&gt;0,IF(I$3=st_crise_crise_an,1,IF(I$3=st_crise_crise_an+1,2,0)),0)</f>
        <v/>
      </c>
      <c r="J10" s="21">
        <f>IF(st_crise_crise_an&gt;0,IF(J$3=st_crise_crise_an,1,IF(J$3=st_crise_crise_an+1,2,0)),0)</f>
        <v/>
      </c>
      <c r="K10" s="21">
        <f>IF(st_crise_crise_an&gt;0,IF(K$3=st_crise_crise_an,1,IF(K$3=st_crise_crise_an+1,2,0)),0)</f>
        <v/>
      </c>
      <c r="L10" s="21">
        <f>IF(st_crise_crise_an&gt;0,IF(L$3=st_crise_crise_an,1,IF(L$3=st_crise_crise_an+1,2,0)),0)</f>
        <v/>
      </c>
      <c r="M10" s="21">
        <f>IF(st_crise_crise_an&gt;0,IF(M$3=st_crise_crise_an,1,IF(M$3=st_crise_crise_an+1,2,0)),0)</f>
        <v/>
      </c>
      <c r="N10" s="21">
        <f>IF(st_crise_crise_an&gt;0,IF(N$3=st_crise_crise_an,1,IF(N$3=st_crise_crise_an+1,2,0)),0)</f>
        <v/>
      </c>
      <c r="O10" s="21">
        <f>IF(st_crise_crise_an&gt;0,IF(O$3=st_crise_crise_an,1,IF(O$3=st_crise_crise_an+1,2,0)),0)</f>
        <v/>
      </c>
      <c r="P10" s="21">
        <f>IF(st_crise_crise_an&gt;0,IF(P$3=st_crise_crise_an,1,IF(P$3=st_crise_crise_an+1,2,0)),0)</f>
        <v/>
      </c>
      <c r="Q10" s="21">
        <f>IF(st_crise_crise_an&gt;0,IF(Q$3=st_crise_crise_an,1,IF(Q$3=st_crise_crise_an+1,2,0)),0)</f>
        <v/>
      </c>
      <c r="R10" s="21">
        <f>IF(st_crise_crise_an&gt;0,IF(R$3=st_crise_crise_an,1,IF(R$3=st_crise_crise_an+1,2,0)),0)</f>
        <v/>
      </c>
      <c r="S10" s="21">
        <f>IF(st_crise_crise_an&gt;0,IF(S$3=st_crise_crise_an,1,IF(S$3=st_crise_crise_an+1,2,0)),0)</f>
        <v/>
      </c>
      <c r="T10" s="21">
        <f>IF(st_crise_crise_an&gt;0,IF(T$3=st_crise_crise_an,1,IF(T$3=st_crise_crise_an+1,2,0)),0)</f>
        <v/>
      </c>
      <c r="U10" s="21">
        <f>IF(st_crise_crise_an&gt;0,IF(U$3=st_crise_crise_an,1,IF(U$3=st_crise_crise_an+1,2,0)),0)</f>
        <v/>
      </c>
      <c r="V10" s="21">
        <f>IF(st_crise_crise_an&gt;0,IF(V$3=st_crise_crise_an,1,IF(V$3=st_crise_crise_an+1,2,0)),0)</f>
        <v/>
      </c>
      <c r="W10" s="21">
        <f>IF(st_crise_crise_an&gt;0,IF(W$3=st_crise_crise_an,1,IF(W$3=st_crise_crise_an+1,2,0)),0)</f>
        <v/>
      </c>
      <c r="X10" s="21">
        <f>IF(st_crise_crise_an&gt;0,IF(X$3=st_crise_crise_an,1,IF(X$3=st_crise_crise_an+1,2,0)),0)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(bud_chauffage_S2+bud_hors_gel_S2+bud_electricite_S2)*E7*IF(AND(E$3&gt;=st_crise_energie_debut,E$3&lt;=st_crise_energie_fin),st_crise_energie_mult,1)</f>
        <v/>
      </c>
      <c r="F13" s="17">
        <f>(bud_chauffage_S2+bud_hors_gel_S2+bud_electricite_S2)*F7*IF(AND(F$3&gt;=st_crise_energie_debut,F$3&lt;=st_crise_energie_fin),st_crise_energie_mult,1)</f>
        <v/>
      </c>
      <c r="G13" s="17">
        <f>(bud_chauffage_S2+bud_hors_gel_S2+bud_electricite_S2)*G7*IF(AND(G$3&gt;=st_crise_energie_debut,G$3&lt;=st_crise_energie_fin),st_crise_energie_mult,1)</f>
        <v/>
      </c>
      <c r="H13" s="17">
        <f>(bud_chauffage_S2+bud_hors_gel_S2+bud_electricite_S2)*H7*IF(AND(H$3&gt;=st_crise_energie_debut,H$3&lt;=st_crise_energie_fin),st_crise_energie_mult,1)</f>
        <v/>
      </c>
      <c r="I13" s="17">
        <f>(bud_chauffage_S2+bud_hors_gel_S2+bud_electricite_S2)*I7*IF(AND(I$3&gt;=st_crise_energie_debut,I$3&lt;=st_crise_energie_fin),st_crise_energie_mult,1)</f>
        <v/>
      </c>
      <c r="J13" s="17">
        <f>(bud_chauffage_S2+bud_hors_gel_S2+bud_electricite_S2)*J7*IF(AND(J$3&gt;=st_crise_energie_debut,J$3&lt;=st_crise_energie_fin),st_crise_energie_mult,1)</f>
        <v/>
      </c>
      <c r="K13" s="17">
        <f>(bud_chauffage_S2+bud_hors_gel_S2+bud_electricite_S2)*K7*IF(AND(K$3&gt;=st_crise_energie_debut,K$3&lt;=st_crise_energie_fin),st_crise_energie_mult,1)</f>
        <v/>
      </c>
      <c r="L13" s="17">
        <f>(bud_chauffage_S2+bud_hors_gel_S2+bud_electricite_S2)*L7*IF(AND(L$3&gt;=st_crise_energie_debut,L$3&lt;=st_crise_energie_fin),st_crise_energie_mult,1)</f>
        <v/>
      </c>
      <c r="M13" s="17">
        <f>(bud_chauffage_S2+bud_hors_gel_S2+bud_electricite_S2)*M7*IF(AND(M$3&gt;=st_crise_energie_debut,M$3&lt;=st_crise_energie_fin),st_crise_energie_mult,1)</f>
        <v/>
      </c>
      <c r="N13" s="17">
        <f>(bud_chauffage_S2+bud_hors_gel_S2+bud_electricite_S2)*N7*IF(AND(N$3&gt;=st_crise_energie_debut,N$3&lt;=st_crise_energie_fin),st_crise_energie_mult,1)</f>
        <v/>
      </c>
      <c r="O13" s="17">
        <f>(bud_chauffage_S2+bud_hors_gel_S2+bud_electricite_S2)*O7*IF(AND(O$3&gt;=st_crise_energie_debut,O$3&lt;=st_crise_energie_fin),st_crise_energie_mult,1)</f>
        <v/>
      </c>
      <c r="P13" s="17">
        <f>(bud_chauffage_S2+bud_hors_gel_S2+bud_electricite_S2)*P7*IF(AND(P$3&gt;=st_crise_energie_debut,P$3&lt;=st_crise_energie_fin),st_crise_energie_mult,1)</f>
        <v/>
      </c>
      <c r="Q13" s="17">
        <f>(bud_chauffage_S2+bud_hors_gel_S2+bud_electricite_S2)*Q7*IF(AND(Q$3&gt;=st_crise_energie_debut,Q$3&lt;=st_crise_energie_fin),st_crise_energie_mult,1)</f>
        <v/>
      </c>
      <c r="R13" s="17">
        <f>(bud_chauffage_S2+bud_hors_gel_S2+bud_electricite_S2)*R7*IF(AND(R$3&gt;=st_crise_energie_debut,R$3&lt;=st_crise_energie_fin),st_crise_energie_mult,1)</f>
        <v/>
      </c>
      <c r="S13" s="17">
        <f>(bud_chauffage_S2+bud_hors_gel_S2+bud_electricite_S2)*S7*IF(AND(S$3&gt;=st_crise_energie_debut,S$3&lt;=st_crise_energie_fin),st_crise_energie_mult,1)</f>
        <v/>
      </c>
      <c r="T13" s="17">
        <f>(bud_chauffage_S2+bud_hors_gel_S2+bud_electricite_S2)*T7*IF(AND(T$3&gt;=st_crise_energie_debut,T$3&lt;=st_crise_energie_fin),st_crise_energie_mult,1)</f>
        <v/>
      </c>
      <c r="U13" s="17">
        <f>(bud_chauffage_S2+bud_hors_gel_S2+bud_electricite_S2)*U7*IF(AND(U$3&gt;=st_crise_energie_debut,U$3&lt;=st_crise_energie_fin),st_crise_energie_mult,1)</f>
        <v/>
      </c>
      <c r="V13" s="17">
        <f>(bud_chauffage_S2+bud_hors_gel_S2+bud_electricite_S2)*V7*IF(AND(V$3&gt;=st_crise_energie_debut,V$3&lt;=st_crise_energie_fin),st_crise_energie_mult,1)</f>
        <v/>
      </c>
      <c r="W13" s="17">
        <f>(bud_chauffage_S2+bud_hors_gel_S2+bud_electricite_S2)*W7*IF(AND(W$3&gt;=st_crise_energie_debut,W$3&lt;=st_crise_energie_fin),st_crise_energie_mult,1)</f>
        <v/>
      </c>
      <c r="X13" s="17">
        <f>(bud_chauffage_S2+bud_hors_gel_S2+bud_electricite_S2)*X7*IF(AND(X$3&gt;=st_crise_energie_debut,X$3&lt;=st_crise_energie_fin),st_crise_energie_mult,1)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IF(MOD(E$3,campagne_periode)=0,(D20+E15)*st_crise_mult_campagne*(1-E11*flex_report),0)</f>
        <v/>
      </c>
      <c r="F17" s="17">
        <f>IF(MOD(F$3,campagne_periode)=0,(E20+F15)*st_crise_mult_campagne*(1-F11*flex_report),0)</f>
        <v/>
      </c>
      <c r="G17" s="17">
        <f>IF(MOD(G$3,campagne_periode)=0,(F20+G15)*st_crise_mult_campagne*(1-G11*flex_report),0)</f>
        <v/>
      </c>
      <c r="H17" s="17">
        <f>IF(MOD(H$3,campagne_periode)=0,(G20+H15)*st_crise_mult_campagne*(1-H11*flex_report),0)</f>
        <v/>
      </c>
      <c r="I17" s="17">
        <f>IF(MOD(I$3,campagne_periode)=0,(H20+I15)*st_crise_mult_campagne*(1-I11*flex_report),0)</f>
        <v/>
      </c>
      <c r="J17" s="17">
        <f>IF(MOD(J$3,campagne_periode)=0,(I20+J15)*st_crise_mult_campagne*(1-J11*flex_report),0)</f>
        <v/>
      </c>
      <c r="K17" s="17">
        <f>IF(MOD(K$3,campagne_periode)=0,(J20+K15)*st_crise_mult_campagne*(1-K11*flex_report),0)</f>
        <v/>
      </c>
      <c r="L17" s="17">
        <f>IF(MOD(L$3,campagne_periode)=0,(K20+L15)*st_crise_mult_campagne*(1-L11*flex_report),0)</f>
        <v/>
      </c>
      <c r="M17" s="17">
        <f>IF(MOD(M$3,campagne_periode)=0,(L20+M15)*st_crise_mult_campagne*(1-M11*flex_report),0)</f>
        <v/>
      </c>
      <c r="N17" s="17">
        <f>IF(MOD(N$3,campagne_periode)=0,(M20+N15)*st_crise_mult_campagne*(1-N11*flex_report),0)</f>
        <v/>
      </c>
      <c r="O17" s="17">
        <f>IF(MOD(O$3,campagne_periode)=0,(N20+O15)*st_crise_mult_campagne*(1-O11*flex_report),0)</f>
        <v/>
      </c>
      <c r="P17" s="17">
        <f>IF(MOD(P$3,campagne_periode)=0,(O20+P15)*st_crise_mult_campagne*(1-P11*flex_report),0)</f>
        <v/>
      </c>
      <c r="Q17" s="17">
        <f>IF(MOD(Q$3,campagne_periode)=0,(P20+Q15)*st_crise_mult_campagne*(1-Q11*flex_report),0)</f>
        <v/>
      </c>
      <c r="R17" s="17">
        <f>IF(MOD(R$3,campagne_periode)=0,(Q20+R15)*st_crise_mult_campagne*(1-R11*flex_report),0)</f>
        <v/>
      </c>
      <c r="S17" s="17">
        <f>IF(MOD(S$3,campagne_periode)=0,(R20+S15)*st_crise_mult_campagne*(1-S11*flex_report),0)</f>
        <v/>
      </c>
      <c r="T17" s="17">
        <f>IF(MOD(T$3,campagne_periode)=0,(S20+T15)*st_crise_mult_campagne*(1-T11*flex_report),0)</f>
        <v/>
      </c>
      <c r="U17" s="17">
        <f>IF(MOD(U$3,campagne_periode)=0,(T20+U15)*st_crise_mult_campagne*(1-U11*flex_report),0)</f>
        <v/>
      </c>
      <c r="V17" s="17">
        <f>IF(MOD(V$3,campagne_periode)=0,(U20+V15)*st_crise_mult_campagne*(1-V11*flex_report),0)</f>
        <v/>
      </c>
      <c r="W17" s="17">
        <f>IF(MOD(W$3,campagne_periode)=0,(V20+W15)*st_crise_mult_campagne*(1-W11*flex_report),0)</f>
        <v/>
      </c>
      <c r="X17" s="17">
        <f>IF(MOD(X$3,campagne_periode)=0,(W20+X15)*st_crise_mult_campagne*(1-X11*flex_report),0)</f>
        <v/>
      </c>
    </row>
    <row r="18">
      <c r="A18" s="2" t="inlineStr">
        <is>
          <t>choc_trav</t>
        </is>
      </c>
      <c r="B18" s="2" t="inlineStr">
        <is>
          <t>Sinistre ou découverte non assurés</t>
        </is>
      </c>
      <c r="C18" s="2" t="inlineStr">
        <is>
          <t>€ 2026</t>
        </is>
      </c>
      <c r="E18" s="17">
        <f>IF(E$3=st_crise_choc_trav_an,st_crise_choc_trav_montant,0)</f>
        <v/>
      </c>
      <c r="F18" s="17">
        <f>IF(F$3=st_crise_choc_trav_an,st_crise_choc_trav_montant,0)</f>
        <v/>
      </c>
      <c r="G18" s="17">
        <f>IF(G$3=st_crise_choc_trav_an,st_crise_choc_trav_montant,0)</f>
        <v/>
      </c>
      <c r="H18" s="17">
        <f>IF(H$3=st_crise_choc_trav_an,st_crise_choc_trav_montant,0)</f>
        <v/>
      </c>
      <c r="I18" s="17">
        <f>IF(I$3=st_crise_choc_trav_an,st_crise_choc_trav_montant,0)</f>
        <v/>
      </c>
      <c r="J18" s="17">
        <f>IF(J$3=st_crise_choc_trav_an,st_crise_choc_trav_montant,0)</f>
        <v/>
      </c>
      <c r="K18" s="17">
        <f>IF(K$3=st_crise_choc_trav_an,st_crise_choc_trav_montant,0)</f>
        <v/>
      </c>
      <c r="L18" s="17">
        <f>IF(L$3=st_crise_choc_trav_an,st_crise_choc_trav_montant,0)</f>
        <v/>
      </c>
      <c r="M18" s="17">
        <f>IF(M$3=st_crise_choc_trav_an,st_crise_choc_trav_montant,0)</f>
        <v/>
      </c>
      <c r="N18" s="17">
        <f>IF(N$3=st_crise_choc_trav_an,st_crise_choc_trav_montant,0)</f>
        <v/>
      </c>
      <c r="O18" s="17">
        <f>IF(O$3=st_crise_choc_trav_an,st_crise_choc_trav_montant,0)</f>
        <v/>
      </c>
      <c r="P18" s="17">
        <f>IF(P$3=st_crise_choc_trav_an,st_crise_choc_trav_montant,0)</f>
        <v/>
      </c>
      <c r="Q18" s="17">
        <f>IF(Q$3=st_crise_choc_trav_an,st_crise_choc_trav_montant,0)</f>
        <v/>
      </c>
      <c r="R18" s="17">
        <f>IF(R$3=st_crise_choc_trav_an,st_crise_choc_trav_montant,0)</f>
        <v/>
      </c>
      <c r="S18" s="17">
        <f>IF(S$3=st_crise_choc_trav_an,st_crise_choc_trav_montant,0)</f>
        <v/>
      </c>
      <c r="T18" s="17">
        <f>IF(T$3=st_crise_choc_trav_an,st_crise_choc_trav_montant,0)</f>
        <v/>
      </c>
      <c r="U18" s="17">
        <f>IF(U$3=st_crise_choc_trav_an,st_crise_choc_trav_montant,0)</f>
        <v/>
      </c>
      <c r="V18" s="17">
        <f>IF(V$3=st_crise_choc_trav_an,st_crise_choc_trav_montant,0)</f>
        <v/>
      </c>
      <c r="W18" s="17">
        <f>IF(W$3=st_crise_choc_trav_an,st_crise_choc_trav_montant,0)</f>
        <v/>
      </c>
      <c r="X18" s="17">
        <f>IF(X$3=st_crise_choc_trav_an,st_crise_choc_trav_montant,0)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(S2_ech_log*mot_log_cn+S2_ech_stock*mot_stock_cn+S2_ech_pv*mot_pv_cn+S2_ech_bois*mot_bois_cn)*E22*E8*IF(E$3&gt;=st_crise_debut_mult,st_crise_mult_A,1)*IF(E10=1,1-0.05,IF(E10=2,1-0.02,1))</f>
        <v/>
      </c>
      <c r="F23" s="17">
        <f>(S2_ech_log*mot_log_cn+S2_ech_stock*mot_stock_cn+S2_ech_pv*mot_pv_cn+S2_ech_bois*mot_bois_cn)*F22*F8*IF(F$3&gt;=st_crise_debut_mult,st_crise_mult_A,1)*IF(F10=1,1-0.05,IF(F10=2,1-0.02,1))</f>
        <v/>
      </c>
      <c r="G23" s="17">
        <f>(S2_ech_log*mot_log_cn+S2_ech_stock*mot_stock_cn+S2_ech_pv*mot_pv_cn+S2_ech_bois*mot_bois_cn)*G22*G8*IF(G$3&gt;=st_crise_debut_mult,st_crise_mult_A,1)*IF(G10=1,1-0.05,IF(G10=2,1-0.02,1))</f>
        <v/>
      </c>
      <c r="H23" s="17">
        <f>(S2_ech_log*mot_log_cn+S2_ech_stock*mot_stock_cn+S2_ech_pv*mot_pv_cn+S2_ech_bois*mot_bois_cn)*H22*H8*IF(H$3&gt;=st_crise_debut_mult,st_crise_mult_A,1)*IF(H10=1,1-0.05,IF(H10=2,1-0.02,1))</f>
        <v/>
      </c>
      <c r="I23" s="17">
        <f>(S2_ech_log*mot_log_cn+S2_ech_stock*mot_stock_cn+S2_ech_pv*mot_pv_cn+S2_ech_bois*mot_bois_cn)*I22*I8*IF(I$3&gt;=st_crise_debut_mult,st_crise_mult_A,1)*IF(I10=1,1-0.05,IF(I10=2,1-0.02,1))</f>
        <v/>
      </c>
      <c r="J23" s="17">
        <f>(S2_ech_log*mot_log_cn+S2_ech_stock*mot_stock_cn+S2_ech_pv*mot_pv_cn+S2_ech_bois*mot_bois_cn)*J22*J8*IF(J$3&gt;=st_crise_debut_mult,st_crise_mult_A,1)*IF(J10=1,1-0.05,IF(J10=2,1-0.02,1))</f>
        <v/>
      </c>
      <c r="K23" s="17">
        <f>(S2_ech_log*mot_log_cn+S2_ech_stock*mot_stock_cn+S2_ech_pv*mot_pv_cn+S2_ech_bois*mot_bois_cn)*K22*K8*IF(K$3&gt;=st_crise_debut_mult,st_crise_mult_A,1)*IF(K10=1,1-0.05,IF(K10=2,1-0.02,1))</f>
        <v/>
      </c>
      <c r="L23" s="17">
        <f>(S2_ech_log*mot_log_cn+S2_ech_stock*mot_stock_cn+S2_ech_pv*mot_pv_cn+S2_ech_bois*mot_bois_cn)*L22*L8*IF(L$3&gt;=st_crise_debut_mult,st_crise_mult_A,1)*IF(L10=1,1-0.05,IF(L10=2,1-0.02,1))</f>
        <v/>
      </c>
      <c r="M23" s="17">
        <f>(S2_ech_log*mot_log_cn+S2_ech_stock*mot_stock_cn+S2_ech_pv*mot_pv_cn+S2_ech_bois*mot_bois_cn)*M22*M8*IF(M$3&gt;=st_crise_debut_mult,st_crise_mult_A,1)*IF(M10=1,1-0.05,IF(M10=2,1-0.02,1))</f>
        <v/>
      </c>
      <c r="N23" s="17">
        <f>(S2_ech_log*mot_log_cn+S2_ech_stock*mot_stock_cn+S2_ech_pv*mot_pv_cn+S2_ech_bois*mot_bois_cn)*N22*N8*IF(N$3&gt;=st_crise_debut_mult,st_crise_mult_A,1)*IF(N10=1,1-0.05,IF(N10=2,1-0.02,1))</f>
        <v/>
      </c>
      <c r="O23" s="17">
        <f>(S2_ech_log*mot_log_cn+S2_ech_stock*mot_stock_cn+S2_ech_pv*mot_pv_cn+S2_ech_bois*mot_bois_cn)*O22*O8*IF(O$3&gt;=st_crise_debut_mult,st_crise_mult_A,1)*IF(O10=1,1-0.05,IF(O10=2,1-0.02,1))</f>
        <v/>
      </c>
      <c r="P23" s="17">
        <f>(S2_ech_log*mot_log_cn+S2_ech_stock*mot_stock_cn+S2_ech_pv*mot_pv_cn+S2_ech_bois*mot_bois_cn)*P22*P8*IF(P$3&gt;=st_crise_debut_mult,st_crise_mult_A,1)*IF(P10=1,1-0.05,IF(P10=2,1-0.02,1))</f>
        <v/>
      </c>
      <c r="Q23" s="17">
        <f>(S2_ech_log*mot_log_cn+S2_ech_stock*mot_stock_cn+S2_ech_pv*mot_pv_cn+S2_ech_bois*mot_bois_cn)*Q22*Q8*IF(Q$3&gt;=st_crise_debut_mult,st_crise_mult_A,1)*IF(Q10=1,1-0.05,IF(Q10=2,1-0.02,1))</f>
        <v/>
      </c>
      <c r="R23" s="17">
        <f>(S2_ech_log*mot_log_cn+S2_ech_stock*mot_stock_cn+S2_ech_pv*mot_pv_cn+S2_ech_bois*mot_bois_cn)*R22*R8*IF(R$3&gt;=st_crise_debut_mult,st_crise_mult_A,1)*IF(R10=1,1-0.05,IF(R10=2,1-0.02,1))</f>
        <v/>
      </c>
      <c r="S23" s="17">
        <f>(S2_ech_log*mot_log_cn+S2_ech_stock*mot_stock_cn+S2_ech_pv*mot_pv_cn+S2_ech_bois*mot_bois_cn)*S22*S8*IF(S$3&gt;=st_crise_debut_mult,st_crise_mult_A,1)*IF(S10=1,1-0.05,IF(S10=2,1-0.02,1))</f>
        <v/>
      </c>
      <c r="T23" s="17">
        <f>(S2_ech_log*mot_log_cn+S2_ech_stock*mot_stock_cn+S2_ech_pv*mot_pv_cn+S2_ech_bois*mot_bois_cn)*T22*T8*IF(T$3&gt;=st_crise_debut_mult,st_crise_mult_A,1)*IF(T10=1,1-0.05,IF(T10=2,1-0.02,1))</f>
        <v/>
      </c>
      <c r="U23" s="17">
        <f>(S2_ech_log*mot_log_cn+S2_ech_stock*mot_stock_cn+S2_ech_pv*mot_pv_cn+S2_ech_bois*mot_bois_cn)*U22*U8*IF(U$3&gt;=st_crise_debut_mult,st_crise_mult_A,1)*IF(U10=1,1-0.05,IF(U10=2,1-0.02,1))</f>
        <v/>
      </c>
      <c r="V23" s="17">
        <f>(S2_ech_log*mot_log_cn+S2_ech_stock*mot_stock_cn+S2_ech_pv*mot_pv_cn+S2_ech_bois*mot_bois_cn)*V22*V8*IF(V$3&gt;=st_crise_debut_mult,st_crise_mult_A,1)*IF(V10=1,1-0.05,IF(V10=2,1-0.02,1))</f>
        <v/>
      </c>
      <c r="W23" s="17">
        <f>(S2_ech_log*mot_log_cn+S2_ech_stock*mot_stock_cn+S2_ech_pv*mot_pv_cn+S2_ech_bois*mot_bois_cn)*W22*W8*IF(W$3&gt;=st_crise_debut_mult,st_crise_mult_A,1)*IF(W10=1,1-0.05,IF(W10=2,1-0.02,1))</f>
        <v/>
      </c>
      <c r="X23" s="17">
        <f>(S2_ech_log*mot_log_cn+S2_ech_stock*mot_stock_cn+S2_ech_pv*mot_pv_cn+S2_ech_bois*mot_bois_cn)*X22*X8*IF(X$3&gt;=st_crise_debut_mult,st_crise_mult_A,1)*IF(X10=1,1-0.05,IF(X10=2,1-0.02,1))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(S2_ech_eq_std*mot_eq_std_cn+S2_ech_eq_ret*mot_eq_ret_cn)*E22*E8*IF(E$3&gt;=st_crise_debut_mult,st_crise_mult_B,1)*IF(E10=1,1-0.15,IF(E10=2,1-0.05,1))</f>
        <v/>
      </c>
      <c r="F24" s="17">
        <f>(S2_ech_eq_std*mot_eq_std_cn+S2_ech_eq_ret*mot_eq_ret_cn)*F22*F8*IF(F$3&gt;=st_crise_debut_mult,st_crise_mult_B,1)*IF(F10=1,1-0.15,IF(F10=2,1-0.05,1))</f>
        <v/>
      </c>
      <c r="G24" s="17">
        <f>(S2_ech_eq_std*mot_eq_std_cn+S2_ech_eq_ret*mot_eq_ret_cn)*G22*G8*IF(G$3&gt;=st_crise_debut_mult,st_crise_mult_B,1)*IF(G10=1,1-0.15,IF(G10=2,1-0.05,1))</f>
        <v/>
      </c>
      <c r="H24" s="17">
        <f>(S2_ech_eq_std*mot_eq_std_cn+S2_ech_eq_ret*mot_eq_ret_cn)*H22*H8*IF(H$3&gt;=st_crise_debut_mult,st_crise_mult_B,1)*IF(H10=1,1-0.15,IF(H10=2,1-0.05,1))</f>
        <v/>
      </c>
      <c r="I24" s="17">
        <f>(S2_ech_eq_std*mot_eq_std_cn+S2_ech_eq_ret*mot_eq_ret_cn)*I22*I8*IF(I$3&gt;=st_crise_debut_mult,st_crise_mult_B,1)*IF(I10=1,1-0.15,IF(I10=2,1-0.05,1))</f>
        <v/>
      </c>
      <c r="J24" s="17">
        <f>(S2_ech_eq_std*mot_eq_std_cn+S2_ech_eq_ret*mot_eq_ret_cn)*J22*J8*IF(J$3&gt;=st_crise_debut_mult,st_crise_mult_B,1)*IF(J10=1,1-0.15,IF(J10=2,1-0.05,1))</f>
        <v/>
      </c>
      <c r="K24" s="17">
        <f>(S2_ech_eq_std*mot_eq_std_cn+S2_ech_eq_ret*mot_eq_ret_cn)*K22*K8*IF(K$3&gt;=st_crise_debut_mult,st_crise_mult_B,1)*IF(K10=1,1-0.15,IF(K10=2,1-0.05,1))</f>
        <v/>
      </c>
      <c r="L24" s="17">
        <f>(S2_ech_eq_std*mot_eq_std_cn+S2_ech_eq_ret*mot_eq_ret_cn)*L22*L8*IF(L$3&gt;=st_crise_debut_mult,st_crise_mult_B,1)*IF(L10=1,1-0.15,IF(L10=2,1-0.05,1))</f>
        <v/>
      </c>
      <c r="M24" s="17">
        <f>(S2_ech_eq_std*mot_eq_std_cn+S2_ech_eq_ret*mot_eq_ret_cn)*M22*M8*IF(M$3&gt;=st_crise_debut_mult,st_crise_mult_B,1)*IF(M10=1,1-0.15,IF(M10=2,1-0.05,1))</f>
        <v/>
      </c>
      <c r="N24" s="17">
        <f>(S2_ech_eq_std*mot_eq_std_cn+S2_ech_eq_ret*mot_eq_ret_cn)*N22*N8*IF(N$3&gt;=st_crise_debut_mult,st_crise_mult_B,1)*IF(N10=1,1-0.15,IF(N10=2,1-0.05,1))</f>
        <v/>
      </c>
      <c r="O24" s="17">
        <f>(S2_ech_eq_std*mot_eq_std_cn+S2_ech_eq_ret*mot_eq_ret_cn)*O22*O8*IF(O$3&gt;=st_crise_debut_mult,st_crise_mult_B,1)*IF(O10=1,1-0.15,IF(O10=2,1-0.05,1))</f>
        <v/>
      </c>
      <c r="P24" s="17">
        <f>(S2_ech_eq_std*mot_eq_std_cn+S2_ech_eq_ret*mot_eq_ret_cn)*P22*P8*IF(P$3&gt;=st_crise_debut_mult,st_crise_mult_B,1)*IF(P10=1,1-0.15,IF(P10=2,1-0.05,1))</f>
        <v/>
      </c>
      <c r="Q24" s="17">
        <f>(S2_ech_eq_std*mot_eq_std_cn+S2_ech_eq_ret*mot_eq_ret_cn)*Q22*Q8*IF(Q$3&gt;=st_crise_debut_mult,st_crise_mult_B,1)*IF(Q10=1,1-0.15,IF(Q10=2,1-0.05,1))</f>
        <v/>
      </c>
      <c r="R24" s="17">
        <f>(S2_ech_eq_std*mot_eq_std_cn+S2_ech_eq_ret*mot_eq_ret_cn)*R22*R8*IF(R$3&gt;=st_crise_debut_mult,st_crise_mult_B,1)*IF(R10=1,1-0.15,IF(R10=2,1-0.05,1))</f>
        <v/>
      </c>
      <c r="S24" s="17">
        <f>(S2_ech_eq_std*mot_eq_std_cn+S2_ech_eq_ret*mot_eq_ret_cn)*S22*S8*IF(S$3&gt;=st_crise_debut_mult,st_crise_mult_B,1)*IF(S10=1,1-0.15,IF(S10=2,1-0.05,1))</f>
        <v/>
      </c>
      <c r="T24" s="17">
        <f>(S2_ech_eq_std*mot_eq_std_cn+S2_ech_eq_ret*mot_eq_ret_cn)*T22*T8*IF(T$3&gt;=st_crise_debut_mult,st_crise_mult_B,1)*IF(T10=1,1-0.15,IF(T10=2,1-0.05,1))</f>
        <v/>
      </c>
      <c r="U24" s="17">
        <f>(S2_ech_eq_std*mot_eq_std_cn+S2_ech_eq_ret*mot_eq_ret_cn)*U22*U8*IF(U$3&gt;=st_crise_debut_mult,st_crise_mult_B,1)*IF(U10=1,1-0.15,IF(U10=2,1-0.05,1))</f>
        <v/>
      </c>
      <c r="V24" s="17">
        <f>(S2_ech_eq_std*mot_eq_std_cn+S2_ech_eq_ret*mot_eq_ret_cn)*V22*V8*IF(V$3&gt;=st_crise_debut_mult,st_crise_mult_B,1)*IF(V10=1,1-0.15,IF(V10=2,1-0.05,1))</f>
        <v/>
      </c>
      <c r="W24" s="17">
        <f>(S2_ech_eq_std*mot_eq_std_cn+S2_ech_eq_ret*mot_eq_ret_cn)*W22*W8*IF(W$3&gt;=st_crise_debut_mult,st_crise_mult_B,1)*IF(W10=1,1-0.15,IF(W10=2,1-0.05,1))</f>
        <v/>
      </c>
      <c r="X24" s="17">
        <f>(S2_ech_eq_std*mot_eq_std_cn+S2_ech_eq_ret*mot_eq_ret_cn)*X22*X8*IF(X$3&gt;=st_crise_debut_mult,st_crise_mult_B,1)*IF(X10=1,1-0.15,IF(X10=2,1-0.05,1))</f>
        <v/>
      </c>
    </row>
    <row r="25">
      <c r="A25" s="2" t="inlineStr">
        <is>
          <t>act_C</t>
        </is>
      </c>
      <c r="B25" s="2" t="inlineStr">
        <is>
          <t>Contribution des activités occasionnelles (classe C)</t>
        </is>
      </c>
      <c r="C25" s="2" t="inlineStr">
        <is>
          <t>€ 2026</t>
        </is>
      </c>
      <c r="E25" s="17">
        <f>(S2_ech_tourn*mot_tourn_cn)*E22*E8*IF(E$3&gt;=st_crise_debut_mult,st_crise_mult_C,1)*IF(E10=1,1-0.8,IF(E10=2,1-0.3,1))</f>
        <v/>
      </c>
      <c r="F25" s="17">
        <f>(S2_ech_tourn*mot_tourn_cn)*F22*F8*IF(F$3&gt;=st_crise_debut_mult,st_crise_mult_C,1)*IF(F10=1,1-0.8,IF(F10=2,1-0.3,1))</f>
        <v/>
      </c>
      <c r="G25" s="17">
        <f>(S2_ech_tourn*mot_tourn_cn)*G22*G8*IF(G$3&gt;=st_crise_debut_mult,st_crise_mult_C,1)*IF(G10=1,1-0.8,IF(G10=2,1-0.3,1))</f>
        <v/>
      </c>
      <c r="H25" s="17">
        <f>(S2_ech_tourn*mot_tourn_cn)*H22*H8*IF(H$3&gt;=st_crise_debut_mult,st_crise_mult_C,1)*IF(H10=1,1-0.8,IF(H10=2,1-0.3,1))</f>
        <v/>
      </c>
      <c r="I25" s="17">
        <f>(S2_ech_tourn*mot_tourn_cn)*I22*I8*IF(I$3&gt;=st_crise_debut_mult,st_crise_mult_C,1)*IF(I10=1,1-0.8,IF(I10=2,1-0.3,1))</f>
        <v/>
      </c>
      <c r="J25" s="17">
        <f>(S2_ech_tourn*mot_tourn_cn)*J22*J8*IF(J$3&gt;=st_crise_debut_mult,st_crise_mult_C,1)*IF(J10=1,1-0.8,IF(J10=2,1-0.3,1))</f>
        <v/>
      </c>
      <c r="K25" s="17">
        <f>(S2_ech_tourn*mot_tourn_cn)*K22*K8*IF(K$3&gt;=st_crise_debut_mult,st_crise_mult_C,1)*IF(K10=1,1-0.8,IF(K10=2,1-0.3,1))</f>
        <v/>
      </c>
      <c r="L25" s="17">
        <f>(S2_ech_tourn*mot_tourn_cn)*L22*L8*IF(L$3&gt;=st_crise_debut_mult,st_crise_mult_C,1)*IF(L10=1,1-0.8,IF(L10=2,1-0.3,1))</f>
        <v/>
      </c>
      <c r="M25" s="17">
        <f>(S2_ech_tourn*mot_tourn_cn)*M22*M8*IF(M$3&gt;=st_crise_debut_mult,st_crise_mult_C,1)*IF(M10=1,1-0.8,IF(M10=2,1-0.3,1))</f>
        <v/>
      </c>
      <c r="N25" s="17">
        <f>(S2_ech_tourn*mot_tourn_cn)*N22*N8*IF(N$3&gt;=st_crise_debut_mult,st_crise_mult_C,1)*IF(N10=1,1-0.8,IF(N10=2,1-0.3,1))</f>
        <v/>
      </c>
      <c r="O25" s="17">
        <f>(S2_ech_tourn*mot_tourn_cn)*O22*O8*IF(O$3&gt;=st_crise_debut_mult,st_crise_mult_C,1)*IF(O10=1,1-0.8,IF(O10=2,1-0.3,1))</f>
        <v/>
      </c>
      <c r="P25" s="17">
        <f>(S2_ech_tourn*mot_tourn_cn)*P22*P8*IF(P$3&gt;=st_crise_debut_mult,st_crise_mult_C,1)*IF(P10=1,1-0.8,IF(P10=2,1-0.3,1))</f>
        <v/>
      </c>
      <c r="Q25" s="17">
        <f>(S2_ech_tourn*mot_tourn_cn)*Q22*Q8*IF(Q$3&gt;=st_crise_debut_mult,st_crise_mult_C,1)*IF(Q10=1,1-0.8,IF(Q10=2,1-0.3,1))</f>
        <v/>
      </c>
      <c r="R25" s="17">
        <f>(S2_ech_tourn*mot_tourn_cn)*R22*R8*IF(R$3&gt;=st_crise_debut_mult,st_crise_mult_C,1)*IF(R10=1,1-0.8,IF(R10=2,1-0.3,1))</f>
        <v/>
      </c>
      <c r="S25" s="17">
        <f>(S2_ech_tourn*mot_tourn_cn)*S22*S8*IF(S$3&gt;=st_crise_debut_mult,st_crise_mult_C,1)*IF(S10=1,1-0.8,IF(S10=2,1-0.3,1))</f>
        <v/>
      </c>
      <c r="T25" s="17">
        <f>(S2_ech_tourn*mot_tourn_cn)*T22*T8*IF(T$3&gt;=st_crise_debut_mult,st_crise_mult_C,1)*IF(T10=1,1-0.8,IF(T10=2,1-0.3,1))</f>
        <v/>
      </c>
      <c r="U25" s="17">
        <f>(S2_ech_tourn*mot_tourn_cn)*U22*U8*IF(U$3&gt;=st_crise_debut_mult,st_crise_mult_C,1)*IF(U10=1,1-0.8,IF(U10=2,1-0.3,1))</f>
        <v/>
      </c>
      <c r="V25" s="17">
        <f>(S2_ech_tourn*mot_tourn_cn)*V22*V8*IF(V$3&gt;=st_crise_debut_mult,st_crise_mult_C,1)*IF(V10=1,1-0.8,IF(V10=2,1-0.3,1))</f>
        <v/>
      </c>
      <c r="W25" s="17">
        <f>(S2_ech_tourn*mot_tourn_cn)*W22*W8*IF(W$3&gt;=st_crise_debut_mult,st_crise_mult_C,1)*IF(W10=1,1-0.8,IF(W10=2,1-0.3,1))</f>
        <v/>
      </c>
      <c r="X25" s="17">
        <f>(S2_ech_tourn*mot_tourn_cn)*X22*X8*IF(X$3&gt;=st_crise_debut_mult,st_crise_mult_C,1)*IF(X10=1,1-0.8,IF(X10=2,1-0.3,1))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IF(AND(E$3&lt;=S2_sol_div_annees,E$3&lt;=st_crise_div_fin),S2_sol_div*IF(E10=1,0.5,1),0)</f>
        <v/>
      </c>
      <c r="F33" s="17">
        <f>IF(AND(F$3&lt;=S2_sol_div_annees,F$3&lt;=st_crise_div_fin),S2_sol_div*IF(F10=1,0.5,1),0)</f>
        <v/>
      </c>
      <c r="G33" s="17">
        <f>IF(AND(G$3&lt;=S2_sol_div_annees,G$3&lt;=st_crise_div_fin),S2_sol_div*IF(G10=1,0.5,1),0)</f>
        <v/>
      </c>
      <c r="H33" s="17">
        <f>IF(AND(H$3&lt;=S2_sol_div_annees,H$3&lt;=st_crise_div_fin),S2_sol_div*IF(H10=1,0.5,1),0)</f>
        <v/>
      </c>
      <c r="I33" s="17">
        <f>IF(AND(I$3&lt;=S2_sol_div_annees,I$3&lt;=st_crise_div_fin),S2_sol_div*IF(I10=1,0.5,1),0)</f>
        <v/>
      </c>
      <c r="J33" s="17">
        <f>IF(AND(J$3&lt;=S2_sol_div_annees,J$3&lt;=st_crise_div_fin),S2_sol_div*IF(J10=1,0.5,1),0)</f>
        <v/>
      </c>
      <c r="K33" s="17">
        <f>IF(AND(K$3&lt;=S2_sol_div_annees,K$3&lt;=st_crise_div_fin),S2_sol_div*IF(K10=1,0.5,1),0)</f>
        <v/>
      </c>
      <c r="L33" s="17">
        <f>IF(AND(L$3&lt;=S2_sol_div_annees,L$3&lt;=st_crise_div_fin),S2_sol_div*IF(L10=1,0.5,1),0)</f>
        <v/>
      </c>
      <c r="M33" s="17">
        <f>IF(AND(M$3&lt;=S2_sol_div_annees,M$3&lt;=st_crise_div_fin),S2_sol_div*IF(M10=1,0.5,1),0)</f>
        <v/>
      </c>
      <c r="N33" s="17">
        <f>IF(AND(N$3&lt;=S2_sol_div_annees,N$3&lt;=st_crise_div_fin),S2_sol_div*IF(N10=1,0.5,1),0)</f>
        <v/>
      </c>
      <c r="O33" s="17">
        <f>IF(AND(O$3&lt;=S2_sol_div_annees,O$3&lt;=st_crise_div_fin),S2_sol_div*IF(O10=1,0.5,1),0)</f>
        <v/>
      </c>
      <c r="P33" s="17">
        <f>IF(AND(P$3&lt;=S2_sol_div_annees,P$3&lt;=st_crise_div_fin),S2_sol_div*IF(P10=1,0.5,1),0)</f>
        <v/>
      </c>
      <c r="Q33" s="17">
        <f>IF(AND(Q$3&lt;=S2_sol_div_annees,Q$3&lt;=st_crise_div_fin),S2_sol_div*IF(Q10=1,0.5,1),0)</f>
        <v/>
      </c>
      <c r="R33" s="17">
        <f>IF(AND(R$3&lt;=S2_sol_div_annees,R$3&lt;=st_crise_div_fin),S2_sol_div*IF(R10=1,0.5,1),0)</f>
        <v/>
      </c>
      <c r="S33" s="17">
        <f>IF(AND(S$3&lt;=S2_sol_div_annees,S$3&lt;=st_crise_div_fin),S2_sol_div*IF(S10=1,0.5,1),0)</f>
        <v/>
      </c>
      <c r="T33" s="17">
        <f>IF(AND(T$3&lt;=S2_sol_div_annees,T$3&lt;=st_crise_div_fin),S2_sol_div*IF(T10=1,0.5,1),0)</f>
        <v/>
      </c>
      <c r="U33" s="17">
        <f>IF(AND(U$3&lt;=S2_sol_div_annees,U$3&lt;=st_crise_div_fin),S2_sol_div*IF(U10=1,0.5,1),0)</f>
        <v/>
      </c>
      <c r="V33" s="17">
        <f>IF(AND(V$3&lt;=S2_sol_div_annees,V$3&lt;=st_crise_div_fin),S2_sol_div*IF(V10=1,0.5,1),0)</f>
        <v/>
      </c>
      <c r="W33" s="17">
        <f>IF(AND(W$3&lt;=S2_sol_div_annees,W$3&lt;=st_crise_div_fin),S2_sol_div*IF(W10=1,0.5,1),0)</f>
        <v/>
      </c>
      <c r="X33" s="17">
        <f>IF(AND(X$3&lt;=S2_sol_div_annees,X$3&lt;=st_crise_div_fin),S2_sol_div*IF(X10=1,0.5,1),0)</f>
        <v/>
      </c>
    </row>
    <row r="34">
      <c r="A34" s="2" t="inlineStr">
        <is>
          <t>rdt_dot</t>
        </is>
      </c>
      <c r="B34" s="2" t="inlineStr">
        <is>
          <t>Rendement réel de la dotation de l'année</t>
        </is>
      </c>
      <c r="C34" s="2" t="inlineStr">
        <is>
          <t>%</t>
        </is>
      </c>
      <c r="E34" s="20">
        <f>dot_rendement+st_crise_dot_rdt_delta+IF(E10=1,-0.25,0)</f>
        <v/>
      </c>
      <c r="F34" s="20">
        <f>dot_rendement+st_crise_dot_rdt_delta+IF(F10=1,-0.25,0)</f>
        <v/>
      </c>
      <c r="G34" s="20">
        <f>dot_rendement+st_crise_dot_rdt_delta+IF(G10=1,-0.25,0)</f>
        <v/>
      </c>
      <c r="H34" s="20">
        <f>dot_rendement+st_crise_dot_rdt_delta+IF(H10=1,-0.25,0)</f>
        <v/>
      </c>
      <c r="I34" s="20">
        <f>dot_rendement+st_crise_dot_rdt_delta+IF(I10=1,-0.25,0)</f>
        <v/>
      </c>
      <c r="J34" s="20">
        <f>dot_rendement+st_crise_dot_rdt_delta+IF(J10=1,-0.25,0)</f>
        <v/>
      </c>
      <c r="K34" s="20">
        <f>dot_rendement+st_crise_dot_rdt_delta+IF(K10=1,-0.25,0)</f>
        <v/>
      </c>
      <c r="L34" s="20">
        <f>dot_rendement+st_crise_dot_rdt_delta+IF(L10=1,-0.25,0)</f>
        <v/>
      </c>
      <c r="M34" s="20">
        <f>dot_rendement+st_crise_dot_rdt_delta+IF(M10=1,-0.25,0)</f>
        <v/>
      </c>
      <c r="N34" s="20">
        <f>dot_rendement+st_crise_dot_rdt_delta+IF(N10=1,-0.25,0)</f>
        <v/>
      </c>
      <c r="O34" s="20">
        <f>dot_rendement+st_crise_dot_rdt_delta+IF(O10=1,-0.25,0)</f>
        <v/>
      </c>
      <c r="P34" s="20">
        <f>dot_rendement+st_crise_dot_rdt_delta+IF(P10=1,-0.25,0)</f>
        <v/>
      </c>
      <c r="Q34" s="20">
        <f>dot_rendement+st_crise_dot_rdt_delta+IF(Q10=1,-0.25,0)</f>
        <v/>
      </c>
      <c r="R34" s="20">
        <f>dot_rendement+st_crise_dot_rdt_delta+IF(R10=1,-0.25,0)</f>
        <v/>
      </c>
      <c r="S34" s="20">
        <f>dot_rendement+st_crise_dot_rdt_delta+IF(S10=1,-0.25,0)</f>
        <v/>
      </c>
      <c r="T34" s="20">
        <f>dot_rendement+st_crise_dot_rdt_delta+IF(T10=1,-0.25,0)</f>
        <v/>
      </c>
      <c r="U34" s="20">
        <f>dot_rendement+st_crise_dot_rdt_delta+IF(U10=1,-0.25,0)</f>
        <v/>
      </c>
      <c r="V34" s="20">
        <f>dot_rendement+st_crise_dot_rdt_delta+IF(V10=1,-0.25,0)</f>
        <v/>
      </c>
      <c r="W34" s="20">
        <f>dot_rendement+st_crise_dot_rdt_delta+IF(W10=1,-0.25,0)</f>
        <v/>
      </c>
      <c r="X34" s="20">
        <f>dot_rendement+st_crise_dot_rdt_delta+IF(X10=1,-0.25,0)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Sinistre ou découverte non assurés en année 6 (+600 000 €) et campagnes +30 %</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D5*(1+g_salaires+st_travaux_g_sal_extra)</f>
        <v/>
      </c>
      <c r="F5" s="21">
        <f>E5*(1+g_salaires+st_travaux_g_sal_extra)</f>
        <v/>
      </c>
      <c r="G5" s="21">
        <f>F5*(1+g_salaires+st_travaux_g_sal_extra)</f>
        <v/>
      </c>
      <c r="H5" s="21">
        <f>G5*(1+g_salaires+st_travaux_g_sal_extra)</f>
        <v/>
      </c>
      <c r="I5" s="21">
        <f>H5*(1+g_salaires+st_travaux_g_sal_extra)</f>
        <v/>
      </c>
      <c r="J5" s="21">
        <f>I5*(1+g_salaires+st_travaux_g_sal_extra)</f>
        <v/>
      </c>
      <c r="K5" s="21">
        <f>J5*(1+g_salaires+st_travaux_g_sal_extra)</f>
        <v/>
      </c>
      <c r="L5" s="21">
        <f>K5*(1+g_salaires+st_travaux_g_sal_extra)</f>
        <v/>
      </c>
      <c r="M5" s="21">
        <f>L5*(1+g_salaires+st_travaux_g_sal_extra)</f>
        <v/>
      </c>
      <c r="N5" s="21">
        <f>M5*(1+g_salaires+st_travaux_g_sal_extra)</f>
        <v/>
      </c>
      <c r="O5" s="21">
        <f>N5*(1+g_salaires+st_travaux_g_sal_extra)</f>
        <v/>
      </c>
      <c r="P5" s="21">
        <f>O5*(1+g_salaires+st_travaux_g_sal_extra)</f>
        <v/>
      </c>
      <c r="Q5" s="21">
        <f>P5*(1+g_salaires+st_travaux_g_sal_extra)</f>
        <v/>
      </c>
      <c r="R5" s="21">
        <f>Q5*(1+g_salaires+st_travaux_g_sal_extra)</f>
        <v/>
      </c>
      <c r="S5" s="21">
        <f>R5*(1+g_salaires+st_travaux_g_sal_extra)</f>
        <v/>
      </c>
      <c r="T5" s="21">
        <f>S5*(1+g_salaires+st_travaux_g_sal_extra)</f>
        <v/>
      </c>
      <c r="U5" s="21">
        <f>T5*(1+g_salaires+st_travaux_g_sal_extra)</f>
        <v/>
      </c>
      <c r="V5" s="21">
        <f>U5*(1+g_salaires+st_travaux_g_sal_extra)</f>
        <v/>
      </c>
      <c r="W5" s="21">
        <f>V5*(1+g_salaires+st_travaux_g_sal_extra)</f>
        <v/>
      </c>
      <c r="X5" s="21">
        <f>W5*(1+g_salaires+st_travaux_g_sal_extra)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IF(st_travaux_crise_an&gt;0,IF(E$3=st_travaux_crise_an,1,IF(E$3=st_travaux_crise_an+1,2,0)),0)</f>
        <v/>
      </c>
      <c r="F10" s="21">
        <f>IF(st_travaux_crise_an&gt;0,IF(F$3=st_travaux_crise_an,1,IF(F$3=st_travaux_crise_an+1,2,0)),0)</f>
        <v/>
      </c>
      <c r="G10" s="21">
        <f>IF(st_travaux_crise_an&gt;0,IF(G$3=st_travaux_crise_an,1,IF(G$3=st_travaux_crise_an+1,2,0)),0)</f>
        <v/>
      </c>
      <c r="H10" s="21">
        <f>IF(st_travaux_crise_an&gt;0,IF(H$3=st_travaux_crise_an,1,IF(H$3=st_travaux_crise_an+1,2,0)),0)</f>
        <v/>
      </c>
      <c r="I10" s="21">
        <f>IF(st_travaux_crise_an&gt;0,IF(I$3=st_travaux_crise_an,1,IF(I$3=st_travaux_crise_an+1,2,0)),0)</f>
        <v/>
      </c>
      <c r="J10" s="21">
        <f>IF(st_travaux_crise_an&gt;0,IF(J$3=st_travaux_crise_an,1,IF(J$3=st_travaux_crise_an+1,2,0)),0)</f>
        <v/>
      </c>
      <c r="K10" s="21">
        <f>IF(st_travaux_crise_an&gt;0,IF(K$3=st_travaux_crise_an,1,IF(K$3=st_travaux_crise_an+1,2,0)),0)</f>
        <v/>
      </c>
      <c r="L10" s="21">
        <f>IF(st_travaux_crise_an&gt;0,IF(L$3=st_travaux_crise_an,1,IF(L$3=st_travaux_crise_an+1,2,0)),0)</f>
        <v/>
      </c>
      <c r="M10" s="21">
        <f>IF(st_travaux_crise_an&gt;0,IF(M$3=st_travaux_crise_an,1,IF(M$3=st_travaux_crise_an+1,2,0)),0)</f>
        <v/>
      </c>
      <c r="N10" s="21">
        <f>IF(st_travaux_crise_an&gt;0,IF(N$3=st_travaux_crise_an,1,IF(N$3=st_travaux_crise_an+1,2,0)),0)</f>
        <v/>
      </c>
      <c r="O10" s="21">
        <f>IF(st_travaux_crise_an&gt;0,IF(O$3=st_travaux_crise_an,1,IF(O$3=st_travaux_crise_an+1,2,0)),0)</f>
        <v/>
      </c>
      <c r="P10" s="21">
        <f>IF(st_travaux_crise_an&gt;0,IF(P$3=st_travaux_crise_an,1,IF(P$3=st_travaux_crise_an+1,2,0)),0)</f>
        <v/>
      </c>
      <c r="Q10" s="21">
        <f>IF(st_travaux_crise_an&gt;0,IF(Q$3=st_travaux_crise_an,1,IF(Q$3=st_travaux_crise_an+1,2,0)),0)</f>
        <v/>
      </c>
      <c r="R10" s="21">
        <f>IF(st_travaux_crise_an&gt;0,IF(R$3=st_travaux_crise_an,1,IF(R$3=st_travaux_crise_an+1,2,0)),0)</f>
        <v/>
      </c>
      <c r="S10" s="21">
        <f>IF(st_travaux_crise_an&gt;0,IF(S$3=st_travaux_crise_an,1,IF(S$3=st_travaux_crise_an+1,2,0)),0)</f>
        <v/>
      </c>
      <c r="T10" s="21">
        <f>IF(st_travaux_crise_an&gt;0,IF(T$3=st_travaux_crise_an,1,IF(T$3=st_travaux_crise_an+1,2,0)),0)</f>
        <v/>
      </c>
      <c r="U10" s="21">
        <f>IF(st_travaux_crise_an&gt;0,IF(U$3=st_travaux_crise_an,1,IF(U$3=st_travaux_crise_an+1,2,0)),0)</f>
        <v/>
      </c>
      <c r="V10" s="21">
        <f>IF(st_travaux_crise_an&gt;0,IF(V$3=st_travaux_crise_an,1,IF(V$3=st_travaux_crise_an+1,2,0)),0)</f>
        <v/>
      </c>
      <c r="W10" s="21">
        <f>IF(st_travaux_crise_an&gt;0,IF(W$3=st_travaux_crise_an,1,IF(W$3=st_travaux_crise_an+1,2,0)),0)</f>
        <v/>
      </c>
      <c r="X10" s="21">
        <f>IF(st_travaux_crise_an&gt;0,IF(X$3=st_travaux_crise_an,1,IF(X$3=st_travaux_crise_an+1,2,0)),0)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(bud_chauffage_S2+bud_hors_gel_S2+bud_electricite_S2)*E7*IF(AND(E$3&gt;=st_travaux_energie_debut,E$3&lt;=st_travaux_energie_fin),st_travaux_energie_mult,1)</f>
        <v/>
      </c>
      <c r="F13" s="17">
        <f>(bud_chauffage_S2+bud_hors_gel_S2+bud_electricite_S2)*F7*IF(AND(F$3&gt;=st_travaux_energie_debut,F$3&lt;=st_travaux_energie_fin),st_travaux_energie_mult,1)</f>
        <v/>
      </c>
      <c r="G13" s="17">
        <f>(bud_chauffage_S2+bud_hors_gel_S2+bud_electricite_S2)*G7*IF(AND(G$3&gt;=st_travaux_energie_debut,G$3&lt;=st_travaux_energie_fin),st_travaux_energie_mult,1)</f>
        <v/>
      </c>
      <c r="H13" s="17">
        <f>(bud_chauffage_S2+bud_hors_gel_S2+bud_electricite_S2)*H7*IF(AND(H$3&gt;=st_travaux_energie_debut,H$3&lt;=st_travaux_energie_fin),st_travaux_energie_mult,1)</f>
        <v/>
      </c>
      <c r="I13" s="17">
        <f>(bud_chauffage_S2+bud_hors_gel_S2+bud_electricite_S2)*I7*IF(AND(I$3&gt;=st_travaux_energie_debut,I$3&lt;=st_travaux_energie_fin),st_travaux_energie_mult,1)</f>
        <v/>
      </c>
      <c r="J13" s="17">
        <f>(bud_chauffage_S2+bud_hors_gel_S2+bud_electricite_S2)*J7*IF(AND(J$3&gt;=st_travaux_energie_debut,J$3&lt;=st_travaux_energie_fin),st_travaux_energie_mult,1)</f>
        <v/>
      </c>
      <c r="K13" s="17">
        <f>(bud_chauffage_S2+bud_hors_gel_S2+bud_electricite_S2)*K7*IF(AND(K$3&gt;=st_travaux_energie_debut,K$3&lt;=st_travaux_energie_fin),st_travaux_energie_mult,1)</f>
        <v/>
      </c>
      <c r="L13" s="17">
        <f>(bud_chauffage_S2+bud_hors_gel_S2+bud_electricite_S2)*L7*IF(AND(L$3&gt;=st_travaux_energie_debut,L$3&lt;=st_travaux_energie_fin),st_travaux_energie_mult,1)</f>
        <v/>
      </c>
      <c r="M13" s="17">
        <f>(bud_chauffage_S2+bud_hors_gel_S2+bud_electricite_S2)*M7*IF(AND(M$3&gt;=st_travaux_energie_debut,M$3&lt;=st_travaux_energie_fin),st_travaux_energie_mult,1)</f>
        <v/>
      </c>
      <c r="N13" s="17">
        <f>(bud_chauffage_S2+bud_hors_gel_S2+bud_electricite_S2)*N7*IF(AND(N$3&gt;=st_travaux_energie_debut,N$3&lt;=st_travaux_energie_fin),st_travaux_energie_mult,1)</f>
        <v/>
      </c>
      <c r="O13" s="17">
        <f>(bud_chauffage_S2+bud_hors_gel_S2+bud_electricite_S2)*O7*IF(AND(O$3&gt;=st_travaux_energie_debut,O$3&lt;=st_travaux_energie_fin),st_travaux_energie_mult,1)</f>
        <v/>
      </c>
      <c r="P13" s="17">
        <f>(bud_chauffage_S2+bud_hors_gel_S2+bud_electricite_S2)*P7*IF(AND(P$3&gt;=st_travaux_energie_debut,P$3&lt;=st_travaux_energie_fin),st_travaux_energie_mult,1)</f>
        <v/>
      </c>
      <c r="Q13" s="17">
        <f>(bud_chauffage_S2+bud_hors_gel_S2+bud_electricite_S2)*Q7*IF(AND(Q$3&gt;=st_travaux_energie_debut,Q$3&lt;=st_travaux_energie_fin),st_travaux_energie_mult,1)</f>
        <v/>
      </c>
      <c r="R13" s="17">
        <f>(bud_chauffage_S2+bud_hors_gel_S2+bud_electricite_S2)*R7*IF(AND(R$3&gt;=st_travaux_energie_debut,R$3&lt;=st_travaux_energie_fin),st_travaux_energie_mult,1)</f>
        <v/>
      </c>
      <c r="S13" s="17">
        <f>(bud_chauffage_S2+bud_hors_gel_S2+bud_electricite_S2)*S7*IF(AND(S$3&gt;=st_travaux_energie_debut,S$3&lt;=st_travaux_energie_fin),st_travaux_energie_mult,1)</f>
        <v/>
      </c>
      <c r="T13" s="17">
        <f>(bud_chauffage_S2+bud_hors_gel_S2+bud_electricite_S2)*T7*IF(AND(T$3&gt;=st_travaux_energie_debut,T$3&lt;=st_travaux_energie_fin),st_travaux_energie_mult,1)</f>
        <v/>
      </c>
      <c r="U13" s="17">
        <f>(bud_chauffage_S2+bud_hors_gel_S2+bud_electricite_S2)*U7*IF(AND(U$3&gt;=st_travaux_energie_debut,U$3&lt;=st_travaux_energie_fin),st_travaux_energie_mult,1)</f>
        <v/>
      </c>
      <c r="V13" s="17">
        <f>(bud_chauffage_S2+bud_hors_gel_S2+bud_electricite_S2)*V7*IF(AND(V$3&gt;=st_travaux_energie_debut,V$3&lt;=st_travaux_energie_fin),st_travaux_energie_mult,1)</f>
        <v/>
      </c>
      <c r="W13" s="17">
        <f>(bud_chauffage_S2+bud_hors_gel_S2+bud_electricite_S2)*W7*IF(AND(W$3&gt;=st_travaux_energie_debut,W$3&lt;=st_travaux_energie_fin),st_travaux_energie_mult,1)</f>
        <v/>
      </c>
      <c r="X13" s="17">
        <f>(bud_chauffage_S2+bud_hors_gel_S2+bud_electricite_S2)*X7*IF(AND(X$3&gt;=st_travaux_energie_debut,X$3&lt;=st_travaux_energie_fin),st_travaux_energie_mult,1)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IF(MOD(E$3,campagne_periode)=0,(D20+E15)*st_travaux_mult_campagne*(1-E11*flex_report),0)</f>
        <v/>
      </c>
      <c r="F17" s="17">
        <f>IF(MOD(F$3,campagne_periode)=0,(E20+F15)*st_travaux_mult_campagne*(1-F11*flex_report),0)</f>
        <v/>
      </c>
      <c r="G17" s="17">
        <f>IF(MOD(G$3,campagne_periode)=0,(F20+G15)*st_travaux_mult_campagne*(1-G11*flex_report),0)</f>
        <v/>
      </c>
      <c r="H17" s="17">
        <f>IF(MOD(H$3,campagne_periode)=0,(G20+H15)*st_travaux_mult_campagne*(1-H11*flex_report),0)</f>
        <v/>
      </c>
      <c r="I17" s="17">
        <f>IF(MOD(I$3,campagne_periode)=0,(H20+I15)*st_travaux_mult_campagne*(1-I11*flex_report),0)</f>
        <v/>
      </c>
      <c r="J17" s="17">
        <f>IF(MOD(J$3,campagne_periode)=0,(I20+J15)*st_travaux_mult_campagne*(1-J11*flex_report),0)</f>
        <v/>
      </c>
      <c r="K17" s="17">
        <f>IF(MOD(K$3,campagne_periode)=0,(J20+K15)*st_travaux_mult_campagne*(1-K11*flex_report),0)</f>
        <v/>
      </c>
      <c r="L17" s="17">
        <f>IF(MOD(L$3,campagne_periode)=0,(K20+L15)*st_travaux_mult_campagne*(1-L11*flex_report),0)</f>
        <v/>
      </c>
      <c r="M17" s="17">
        <f>IF(MOD(M$3,campagne_periode)=0,(L20+M15)*st_travaux_mult_campagne*(1-M11*flex_report),0)</f>
        <v/>
      </c>
      <c r="N17" s="17">
        <f>IF(MOD(N$3,campagne_periode)=0,(M20+N15)*st_travaux_mult_campagne*(1-N11*flex_report),0)</f>
        <v/>
      </c>
      <c r="O17" s="17">
        <f>IF(MOD(O$3,campagne_periode)=0,(N20+O15)*st_travaux_mult_campagne*(1-O11*flex_report),0)</f>
        <v/>
      </c>
      <c r="P17" s="17">
        <f>IF(MOD(P$3,campagne_periode)=0,(O20+P15)*st_travaux_mult_campagne*(1-P11*flex_report),0)</f>
        <v/>
      </c>
      <c r="Q17" s="17">
        <f>IF(MOD(Q$3,campagne_periode)=0,(P20+Q15)*st_travaux_mult_campagne*(1-Q11*flex_report),0)</f>
        <v/>
      </c>
      <c r="R17" s="17">
        <f>IF(MOD(R$3,campagne_periode)=0,(Q20+R15)*st_travaux_mult_campagne*(1-R11*flex_report),0)</f>
        <v/>
      </c>
      <c r="S17" s="17">
        <f>IF(MOD(S$3,campagne_periode)=0,(R20+S15)*st_travaux_mult_campagne*(1-S11*flex_report),0)</f>
        <v/>
      </c>
      <c r="T17" s="17">
        <f>IF(MOD(T$3,campagne_periode)=0,(S20+T15)*st_travaux_mult_campagne*(1-T11*flex_report),0)</f>
        <v/>
      </c>
      <c r="U17" s="17">
        <f>IF(MOD(U$3,campagne_periode)=0,(T20+U15)*st_travaux_mult_campagne*(1-U11*flex_report),0)</f>
        <v/>
      </c>
      <c r="V17" s="17">
        <f>IF(MOD(V$3,campagne_periode)=0,(U20+V15)*st_travaux_mult_campagne*(1-V11*flex_report),0)</f>
        <v/>
      </c>
      <c r="W17" s="17">
        <f>IF(MOD(W$3,campagne_periode)=0,(V20+W15)*st_travaux_mult_campagne*(1-W11*flex_report),0)</f>
        <v/>
      </c>
      <c r="X17" s="17">
        <f>IF(MOD(X$3,campagne_periode)=0,(W20+X15)*st_travaux_mult_campagne*(1-X11*flex_report),0)</f>
        <v/>
      </c>
    </row>
    <row r="18">
      <c r="A18" s="2" t="inlineStr">
        <is>
          <t>choc_trav</t>
        </is>
      </c>
      <c r="B18" s="2" t="inlineStr">
        <is>
          <t>Sinistre ou découverte non assurés</t>
        </is>
      </c>
      <c r="C18" s="2" t="inlineStr">
        <is>
          <t>€ 2026</t>
        </is>
      </c>
      <c r="E18" s="17">
        <f>IF(E$3=st_travaux_choc_trav_an,st_travaux_choc_trav_montant,0)</f>
        <v/>
      </c>
      <c r="F18" s="17">
        <f>IF(F$3=st_travaux_choc_trav_an,st_travaux_choc_trav_montant,0)</f>
        <v/>
      </c>
      <c r="G18" s="17">
        <f>IF(G$3=st_travaux_choc_trav_an,st_travaux_choc_trav_montant,0)</f>
        <v/>
      </c>
      <c r="H18" s="17">
        <f>IF(H$3=st_travaux_choc_trav_an,st_travaux_choc_trav_montant,0)</f>
        <v/>
      </c>
      <c r="I18" s="17">
        <f>IF(I$3=st_travaux_choc_trav_an,st_travaux_choc_trav_montant,0)</f>
        <v/>
      </c>
      <c r="J18" s="17">
        <f>IF(J$3=st_travaux_choc_trav_an,st_travaux_choc_trav_montant,0)</f>
        <v/>
      </c>
      <c r="K18" s="17">
        <f>IF(K$3=st_travaux_choc_trav_an,st_travaux_choc_trav_montant,0)</f>
        <v/>
      </c>
      <c r="L18" s="17">
        <f>IF(L$3=st_travaux_choc_trav_an,st_travaux_choc_trav_montant,0)</f>
        <v/>
      </c>
      <c r="M18" s="17">
        <f>IF(M$3=st_travaux_choc_trav_an,st_travaux_choc_trav_montant,0)</f>
        <v/>
      </c>
      <c r="N18" s="17">
        <f>IF(N$3=st_travaux_choc_trav_an,st_travaux_choc_trav_montant,0)</f>
        <v/>
      </c>
      <c r="O18" s="17">
        <f>IF(O$3=st_travaux_choc_trav_an,st_travaux_choc_trav_montant,0)</f>
        <v/>
      </c>
      <c r="P18" s="17">
        <f>IF(P$3=st_travaux_choc_trav_an,st_travaux_choc_trav_montant,0)</f>
        <v/>
      </c>
      <c r="Q18" s="17">
        <f>IF(Q$3=st_travaux_choc_trav_an,st_travaux_choc_trav_montant,0)</f>
        <v/>
      </c>
      <c r="R18" s="17">
        <f>IF(R$3=st_travaux_choc_trav_an,st_travaux_choc_trav_montant,0)</f>
        <v/>
      </c>
      <c r="S18" s="17">
        <f>IF(S$3=st_travaux_choc_trav_an,st_travaux_choc_trav_montant,0)</f>
        <v/>
      </c>
      <c r="T18" s="17">
        <f>IF(T$3=st_travaux_choc_trav_an,st_travaux_choc_trav_montant,0)</f>
        <v/>
      </c>
      <c r="U18" s="17">
        <f>IF(U$3=st_travaux_choc_trav_an,st_travaux_choc_trav_montant,0)</f>
        <v/>
      </c>
      <c r="V18" s="17">
        <f>IF(V$3=st_travaux_choc_trav_an,st_travaux_choc_trav_montant,0)</f>
        <v/>
      </c>
      <c r="W18" s="17">
        <f>IF(W$3=st_travaux_choc_trav_an,st_travaux_choc_trav_montant,0)</f>
        <v/>
      </c>
      <c r="X18" s="17">
        <f>IF(X$3=st_travaux_choc_trav_an,st_travaux_choc_trav_montant,0)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(S2_ech_log*mot_log_cn+S2_ech_stock*mot_stock_cn+S2_ech_pv*mot_pv_cn+S2_ech_bois*mot_bois_cn)*E22*E8*IF(E$3&gt;=st_travaux_debut_mult,st_travaux_mult_A,1)*IF(E10=1,1-0.05,IF(E10=2,1-0.02,1))</f>
        <v/>
      </c>
      <c r="F23" s="17">
        <f>(S2_ech_log*mot_log_cn+S2_ech_stock*mot_stock_cn+S2_ech_pv*mot_pv_cn+S2_ech_bois*mot_bois_cn)*F22*F8*IF(F$3&gt;=st_travaux_debut_mult,st_travaux_mult_A,1)*IF(F10=1,1-0.05,IF(F10=2,1-0.02,1))</f>
        <v/>
      </c>
      <c r="G23" s="17">
        <f>(S2_ech_log*mot_log_cn+S2_ech_stock*mot_stock_cn+S2_ech_pv*mot_pv_cn+S2_ech_bois*mot_bois_cn)*G22*G8*IF(G$3&gt;=st_travaux_debut_mult,st_travaux_mult_A,1)*IF(G10=1,1-0.05,IF(G10=2,1-0.02,1))</f>
        <v/>
      </c>
      <c r="H23" s="17">
        <f>(S2_ech_log*mot_log_cn+S2_ech_stock*mot_stock_cn+S2_ech_pv*mot_pv_cn+S2_ech_bois*mot_bois_cn)*H22*H8*IF(H$3&gt;=st_travaux_debut_mult,st_travaux_mult_A,1)*IF(H10=1,1-0.05,IF(H10=2,1-0.02,1))</f>
        <v/>
      </c>
      <c r="I23" s="17">
        <f>(S2_ech_log*mot_log_cn+S2_ech_stock*mot_stock_cn+S2_ech_pv*mot_pv_cn+S2_ech_bois*mot_bois_cn)*I22*I8*IF(I$3&gt;=st_travaux_debut_mult,st_travaux_mult_A,1)*IF(I10=1,1-0.05,IF(I10=2,1-0.02,1))</f>
        <v/>
      </c>
      <c r="J23" s="17">
        <f>(S2_ech_log*mot_log_cn+S2_ech_stock*mot_stock_cn+S2_ech_pv*mot_pv_cn+S2_ech_bois*mot_bois_cn)*J22*J8*IF(J$3&gt;=st_travaux_debut_mult,st_travaux_mult_A,1)*IF(J10=1,1-0.05,IF(J10=2,1-0.02,1))</f>
        <v/>
      </c>
      <c r="K23" s="17">
        <f>(S2_ech_log*mot_log_cn+S2_ech_stock*mot_stock_cn+S2_ech_pv*mot_pv_cn+S2_ech_bois*mot_bois_cn)*K22*K8*IF(K$3&gt;=st_travaux_debut_mult,st_travaux_mult_A,1)*IF(K10=1,1-0.05,IF(K10=2,1-0.02,1))</f>
        <v/>
      </c>
      <c r="L23" s="17">
        <f>(S2_ech_log*mot_log_cn+S2_ech_stock*mot_stock_cn+S2_ech_pv*mot_pv_cn+S2_ech_bois*mot_bois_cn)*L22*L8*IF(L$3&gt;=st_travaux_debut_mult,st_travaux_mult_A,1)*IF(L10=1,1-0.05,IF(L10=2,1-0.02,1))</f>
        <v/>
      </c>
      <c r="M23" s="17">
        <f>(S2_ech_log*mot_log_cn+S2_ech_stock*mot_stock_cn+S2_ech_pv*mot_pv_cn+S2_ech_bois*mot_bois_cn)*M22*M8*IF(M$3&gt;=st_travaux_debut_mult,st_travaux_mult_A,1)*IF(M10=1,1-0.05,IF(M10=2,1-0.02,1))</f>
        <v/>
      </c>
      <c r="N23" s="17">
        <f>(S2_ech_log*mot_log_cn+S2_ech_stock*mot_stock_cn+S2_ech_pv*mot_pv_cn+S2_ech_bois*mot_bois_cn)*N22*N8*IF(N$3&gt;=st_travaux_debut_mult,st_travaux_mult_A,1)*IF(N10=1,1-0.05,IF(N10=2,1-0.02,1))</f>
        <v/>
      </c>
      <c r="O23" s="17">
        <f>(S2_ech_log*mot_log_cn+S2_ech_stock*mot_stock_cn+S2_ech_pv*mot_pv_cn+S2_ech_bois*mot_bois_cn)*O22*O8*IF(O$3&gt;=st_travaux_debut_mult,st_travaux_mult_A,1)*IF(O10=1,1-0.05,IF(O10=2,1-0.02,1))</f>
        <v/>
      </c>
      <c r="P23" s="17">
        <f>(S2_ech_log*mot_log_cn+S2_ech_stock*mot_stock_cn+S2_ech_pv*mot_pv_cn+S2_ech_bois*mot_bois_cn)*P22*P8*IF(P$3&gt;=st_travaux_debut_mult,st_travaux_mult_A,1)*IF(P10=1,1-0.05,IF(P10=2,1-0.02,1))</f>
        <v/>
      </c>
      <c r="Q23" s="17">
        <f>(S2_ech_log*mot_log_cn+S2_ech_stock*mot_stock_cn+S2_ech_pv*mot_pv_cn+S2_ech_bois*mot_bois_cn)*Q22*Q8*IF(Q$3&gt;=st_travaux_debut_mult,st_travaux_mult_A,1)*IF(Q10=1,1-0.05,IF(Q10=2,1-0.02,1))</f>
        <v/>
      </c>
      <c r="R23" s="17">
        <f>(S2_ech_log*mot_log_cn+S2_ech_stock*mot_stock_cn+S2_ech_pv*mot_pv_cn+S2_ech_bois*mot_bois_cn)*R22*R8*IF(R$3&gt;=st_travaux_debut_mult,st_travaux_mult_A,1)*IF(R10=1,1-0.05,IF(R10=2,1-0.02,1))</f>
        <v/>
      </c>
      <c r="S23" s="17">
        <f>(S2_ech_log*mot_log_cn+S2_ech_stock*mot_stock_cn+S2_ech_pv*mot_pv_cn+S2_ech_bois*mot_bois_cn)*S22*S8*IF(S$3&gt;=st_travaux_debut_mult,st_travaux_mult_A,1)*IF(S10=1,1-0.05,IF(S10=2,1-0.02,1))</f>
        <v/>
      </c>
      <c r="T23" s="17">
        <f>(S2_ech_log*mot_log_cn+S2_ech_stock*mot_stock_cn+S2_ech_pv*mot_pv_cn+S2_ech_bois*mot_bois_cn)*T22*T8*IF(T$3&gt;=st_travaux_debut_mult,st_travaux_mult_A,1)*IF(T10=1,1-0.05,IF(T10=2,1-0.02,1))</f>
        <v/>
      </c>
      <c r="U23" s="17">
        <f>(S2_ech_log*mot_log_cn+S2_ech_stock*mot_stock_cn+S2_ech_pv*mot_pv_cn+S2_ech_bois*mot_bois_cn)*U22*U8*IF(U$3&gt;=st_travaux_debut_mult,st_travaux_mult_A,1)*IF(U10=1,1-0.05,IF(U10=2,1-0.02,1))</f>
        <v/>
      </c>
      <c r="V23" s="17">
        <f>(S2_ech_log*mot_log_cn+S2_ech_stock*mot_stock_cn+S2_ech_pv*mot_pv_cn+S2_ech_bois*mot_bois_cn)*V22*V8*IF(V$3&gt;=st_travaux_debut_mult,st_travaux_mult_A,1)*IF(V10=1,1-0.05,IF(V10=2,1-0.02,1))</f>
        <v/>
      </c>
      <c r="W23" s="17">
        <f>(S2_ech_log*mot_log_cn+S2_ech_stock*mot_stock_cn+S2_ech_pv*mot_pv_cn+S2_ech_bois*mot_bois_cn)*W22*W8*IF(W$3&gt;=st_travaux_debut_mult,st_travaux_mult_A,1)*IF(W10=1,1-0.05,IF(W10=2,1-0.02,1))</f>
        <v/>
      </c>
      <c r="X23" s="17">
        <f>(S2_ech_log*mot_log_cn+S2_ech_stock*mot_stock_cn+S2_ech_pv*mot_pv_cn+S2_ech_bois*mot_bois_cn)*X22*X8*IF(X$3&gt;=st_travaux_debut_mult,st_travaux_mult_A,1)*IF(X10=1,1-0.05,IF(X10=2,1-0.02,1))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(S2_ech_eq_std*mot_eq_std_cn+S2_ech_eq_ret*mot_eq_ret_cn)*E22*E8*IF(E$3&gt;=st_travaux_debut_mult,st_travaux_mult_B,1)*IF(E10=1,1-0.15,IF(E10=2,1-0.05,1))</f>
        <v/>
      </c>
      <c r="F24" s="17">
        <f>(S2_ech_eq_std*mot_eq_std_cn+S2_ech_eq_ret*mot_eq_ret_cn)*F22*F8*IF(F$3&gt;=st_travaux_debut_mult,st_travaux_mult_B,1)*IF(F10=1,1-0.15,IF(F10=2,1-0.05,1))</f>
        <v/>
      </c>
      <c r="G24" s="17">
        <f>(S2_ech_eq_std*mot_eq_std_cn+S2_ech_eq_ret*mot_eq_ret_cn)*G22*G8*IF(G$3&gt;=st_travaux_debut_mult,st_travaux_mult_B,1)*IF(G10=1,1-0.15,IF(G10=2,1-0.05,1))</f>
        <v/>
      </c>
      <c r="H24" s="17">
        <f>(S2_ech_eq_std*mot_eq_std_cn+S2_ech_eq_ret*mot_eq_ret_cn)*H22*H8*IF(H$3&gt;=st_travaux_debut_mult,st_travaux_mult_B,1)*IF(H10=1,1-0.15,IF(H10=2,1-0.05,1))</f>
        <v/>
      </c>
      <c r="I24" s="17">
        <f>(S2_ech_eq_std*mot_eq_std_cn+S2_ech_eq_ret*mot_eq_ret_cn)*I22*I8*IF(I$3&gt;=st_travaux_debut_mult,st_travaux_mult_B,1)*IF(I10=1,1-0.15,IF(I10=2,1-0.05,1))</f>
        <v/>
      </c>
      <c r="J24" s="17">
        <f>(S2_ech_eq_std*mot_eq_std_cn+S2_ech_eq_ret*mot_eq_ret_cn)*J22*J8*IF(J$3&gt;=st_travaux_debut_mult,st_travaux_mult_B,1)*IF(J10=1,1-0.15,IF(J10=2,1-0.05,1))</f>
        <v/>
      </c>
      <c r="K24" s="17">
        <f>(S2_ech_eq_std*mot_eq_std_cn+S2_ech_eq_ret*mot_eq_ret_cn)*K22*K8*IF(K$3&gt;=st_travaux_debut_mult,st_travaux_mult_B,1)*IF(K10=1,1-0.15,IF(K10=2,1-0.05,1))</f>
        <v/>
      </c>
      <c r="L24" s="17">
        <f>(S2_ech_eq_std*mot_eq_std_cn+S2_ech_eq_ret*mot_eq_ret_cn)*L22*L8*IF(L$3&gt;=st_travaux_debut_mult,st_travaux_mult_B,1)*IF(L10=1,1-0.15,IF(L10=2,1-0.05,1))</f>
        <v/>
      </c>
      <c r="M24" s="17">
        <f>(S2_ech_eq_std*mot_eq_std_cn+S2_ech_eq_ret*mot_eq_ret_cn)*M22*M8*IF(M$3&gt;=st_travaux_debut_mult,st_travaux_mult_B,1)*IF(M10=1,1-0.15,IF(M10=2,1-0.05,1))</f>
        <v/>
      </c>
      <c r="N24" s="17">
        <f>(S2_ech_eq_std*mot_eq_std_cn+S2_ech_eq_ret*mot_eq_ret_cn)*N22*N8*IF(N$3&gt;=st_travaux_debut_mult,st_travaux_mult_B,1)*IF(N10=1,1-0.15,IF(N10=2,1-0.05,1))</f>
        <v/>
      </c>
      <c r="O24" s="17">
        <f>(S2_ech_eq_std*mot_eq_std_cn+S2_ech_eq_ret*mot_eq_ret_cn)*O22*O8*IF(O$3&gt;=st_travaux_debut_mult,st_travaux_mult_B,1)*IF(O10=1,1-0.15,IF(O10=2,1-0.05,1))</f>
        <v/>
      </c>
      <c r="P24" s="17">
        <f>(S2_ech_eq_std*mot_eq_std_cn+S2_ech_eq_ret*mot_eq_ret_cn)*P22*P8*IF(P$3&gt;=st_travaux_debut_mult,st_travaux_mult_B,1)*IF(P10=1,1-0.15,IF(P10=2,1-0.05,1))</f>
        <v/>
      </c>
      <c r="Q24" s="17">
        <f>(S2_ech_eq_std*mot_eq_std_cn+S2_ech_eq_ret*mot_eq_ret_cn)*Q22*Q8*IF(Q$3&gt;=st_travaux_debut_mult,st_travaux_mult_B,1)*IF(Q10=1,1-0.15,IF(Q10=2,1-0.05,1))</f>
        <v/>
      </c>
      <c r="R24" s="17">
        <f>(S2_ech_eq_std*mot_eq_std_cn+S2_ech_eq_ret*mot_eq_ret_cn)*R22*R8*IF(R$3&gt;=st_travaux_debut_mult,st_travaux_mult_B,1)*IF(R10=1,1-0.15,IF(R10=2,1-0.05,1))</f>
        <v/>
      </c>
      <c r="S24" s="17">
        <f>(S2_ech_eq_std*mot_eq_std_cn+S2_ech_eq_ret*mot_eq_ret_cn)*S22*S8*IF(S$3&gt;=st_travaux_debut_mult,st_travaux_mult_B,1)*IF(S10=1,1-0.15,IF(S10=2,1-0.05,1))</f>
        <v/>
      </c>
      <c r="T24" s="17">
        <f>(S2_ech_eq_std*mot_eq_std_cn+S2_ech_eq_ret*mot_eq_ret_cn)*T22*T8*IF(T$3&gt;=st_travaux_debut_mult,st_travaux_mult_B,1)*IF(T10=1,1-0.15,IF(T10=2,1-0.05,1))</f>
        <v/>
      </c>
      <c r="U24" s="17">
        <f>(S2_ech_eq_std*mot_eq_std_cn+S2_ech_eq_ret*mot_eq_ret_cn)*U22*U8*IF(U$3&gt;=st_travaux_debut_mult,st_travaux_mult_B,1)*IF(U10=1,1-0.15,IF(U10=2,1-0.05,1))</f>
        <v/>
      </c>
      <c r="V24" s="17">
        <f>(S2_ech_eq_std*mot_eq_std_cn+S2_ech_eq_ret*mot_eq_ret_cn)*V22*V8*IF(V$3&gt;=st_travaux_debut_mult,st_travaux_mult_B,1)*IF(V10=1,1-0.15,IF(V10=2,1-0.05,1))</f>
        <v/>
      </c>
      <c r="W24" s="17">
        <f>(S2_ech_eq_std*mot_eq_std_cn+S2_ech_eq_ret*mot_eq_ret_cn)*W22*W8*IF(W$3&gt;=st_travaux_debut_mult,st_travaux_mult_B,1)*IF(W10=1,1-0.15,IF(W10=2,1-0.05,1))</f>
        <v/>
      </c>
      <c r="X24" s="17">
        <f>(S2_ech_eq_std*mot_eq_std_cn+S2_ech_eq_ret*mot_eq_ret_cn)*X22*X8*IF(X$3&gt;=st_travaux_debut_mult,st_travaux_mult_B,1)*IF(X10=1,1-0.15,IF(X10=2,1-0.05,1))</f>
        <v/>
      </c>
    </row>
    <row r="25">
      <c r="A25" s="2" t="inlineStr">
        <is>
          <t>act_C</t>
        </is>
      </c>
      <c r="B25" s="2" t="inlineStr">
        <is>
          <t>Contribution des activités occasionnelles (classe C)</t>
        </is>
      </c>
      <c r="C25" s="2" t="inlineStr">
        <is>
          <t>€ 2026</t>
        </is>
      </c>
      <c r="E25" s="17">
        <f>(S2_ech_tourn*mot_tourn_cn)*E22*E8*IF(E$3&gt;=st_travaux_debut_mult,st_travaux_mult_C,1)*IF(E10=1,1-0.8,IF(E10=2,1-0.3,1))</f>
        <v/>
      </c>
      <c r="F25" s="17">
        <f>(S2_ech_tourn*mot_tourn_cn)*F22*F8*IF(F$3&gt;=st_travaux_debut_mult,st_travaux_mult_C,1)*IF(F10=1,1-0.8,IF(F10=2,1-0.3,1))</f>
        <v/>
      </c>
      <c r="G25" s="17">
        <f>(S2_ech_tourn*mot_tourn_cn)*G22*G8*IF(G$3&gt;=st_travaux_debut_mult,st_travaux_mult_C,1)*IF(G10=1,1-0.8,IF(G10=2,1-0.3,1))</f>
        <v/>
      </c>
      <c r="H25" s="17">
        <f>(S2_ech_tourn*mot_tourn_cn)*H22*H8*IF(H$3&gt;=st_travaux_debut_mult,st_travaux_mult_C,1)*IF(H10=1,1-0.8,IF(H10=2,1-0.3,1))</f>
        <v/>
      </c>
      <c r="I25" s="17">
        <f>(S2_ech_tourn*mot_tourn_cn)*I22*I8*IF(I$3&gt;=st_travaux_debut_mult,st_travaux_mult_C,1)*IF(I10=1,1-0.8,IF(I10=2,1-0.3,1))</f>
        <v/>
      </c>
      <c r="J25" s="17">
        <f>(S2_ech_tourn*mot_tourn_cn)*J22*J8*IF(J$3&gt;=st_travaux_debut_mult,st_travaux_mult_C,1)*IF(J10=1,1-0.8,IF(J10=2,1-0.3,1))</f>
        <v/>
      </c>
      <c r="K25" s="17">
        <f>(S2_ech_tourn*mot_tourn_cn)*K22*K8*IF(K$3&gt;=st_travaux_debut_mult,st_travaux_mult_C,1)*IF(K10=1,1-0.8,IF(K10=2,1-0.3,1))</f>
        <v/>
      </c>
      <c r="L25" s="17">
        <f>(S2_ech_tourn*mot_tourn_cn)*L22*L8*IF(L$3&gt;=st_travaux_debut_mult,st_travaux_mult_C,1)*IF(L10=1,1-0.8,IF(L10=2,1-0.3,1))</f>
        <v/>
      </c>
      <c r="M25" s="17">
        <f>(S2_ech_tourn*mot_tourn_cn)*M22*M8*IF(M$3&gt;=st_travaux_debut_mult,st_travaux_mult_C,1)*IF(M10=1,1-0.8,IF(M10=2,1-0.3,1))</f>
        <v/>
      </c>
      <c r="N25" s="17">
        <f>(S2_ech_tourn*mot_tourn_cn)*N22*N8*IF(N$3&gt;=st_travaux_debut_mult,st_travaux_mult_C,1)*IF(N10=1,1-0.8,IF(N10=2,1-0.3,1))</f>
        <v/>
      </c>
      <c r="O25" s="17">
        <f>(S2_ech_tourn*mot_tourn_cn)*O22*O8*IF(O$3&gt;=st_travaux_debut_mult,st_travaux_mult_C,1)*IF(O10=1,1-0.8,IF(O10=2,1-0.3,1))</f>
        <v/>
      </c>
      <c r="P25" s="17">
        <f>(S2_ech_tourn*mot_tourn_cn)*P22*P8*IF(P$3&gt;=st_travaux_debut_mult,st_travaux_mult_C,1)*IF(P10=1,1-0.8,IF(P10=2,1-0.3,1))</f>
        <v/>
      </c>
      <c r="Q25" s="17">
        <f>(S2_ech_tourn*mot_tourn_cn)*Q22*Q8*IF(Q$3&gt;=st_travaux_debut_mult,st_travaux_mult_C,1)*IF(Q10=1,1-0.8,IF(Q10=2,1-0.3,1))</f>
        <v/>
      </c>
      <c r="R25" s="17">
        <f>(S2_ech_tourn*mot_tourn_cn)*R22*R8*IF(R$3&gt;=st_travaux_debut_mult,st_travaux_mult_C,1)*IF(R10=1,1-0.8,IF(R10=2,1-0.3,1))</f>
        <v/>
      </c>
      <c r="S25" s="17">
        <f>(S2_ech_tourn*mot_tourn_cn)*S22*S8*IF(S$3&gt;=st_travaux_debut_mult,st_travaux_mult_C,1)*IF(S10=1,1-0.8,IF(S10=2,1-0.3,1))</f>
        <v/>
      </c>
      <c r="T25" s="17">
        <f>(S2_ech_tourn*mot_tourn_cn)*T22*T8*IF(T$3&gt;=st_travaux_debut_mult,st_travaux_mult_C,1)*IF(T10=1,1-0.8,IF(T10=2,1-0.3,1))</f>
        <v/>
      </c>
      <c r="U25" s="17">
        <f>(S2_ech_tourn*mot_tourn_cn)*U22*U8*IF(U$3&gt;=st_travaux_debut_mult,st_travaux_mult_C,1)*IF(U10=1,1-0.8,IF(U10=2,1-0.3,1))</f>
        <v/>
      </c>
      <c r="V25" s="17">
        <f>(S2_ech_tourn*mot_tourn_cn)*V22*V8*IF(V$3&gt;=st_travaux_debut_mult,st_travaux_mult_C,1)*IF(V10=1,1-0.8,IF(V10=2,1-0.3,1))</f>
        <v/>
      </c>
      <c r="W25" s="17">
        <f>(S2_ech_tourn*mot_tourn_cn)*W22*W8*IF(W$3&gt;=st_travaux_debut_mult,st_travaux_mult_C,1)*IF(W10=1,1-0.8,IF(W10=2,1-0.3,1))</f>
        <v/>
      </c>
      <c r="X25" s="17">
        <f>(S2_ech_tourn*mot_tourn_cn)*X22*X8*IF(X$3&gt;=st_travaux_debut_mult,st_travaux_mult_C,1)*IF(X10=1,1-0.8,IF(X10=2,1-0.3,1))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IF(AND(E$3&lt;=S2_sol_div_annees,E$3&lt;=st_travaux_div_fin),S2_sol_div*IF(E10=1,0.5,1),0)</f>
        <v/>
      </c>
      <c r="F33" s="17">
        <f>IF(AND(F$3&lt;=S2_sol_div_annees,F$3&lt;=st_travaux_div_fin),S2_sol_div*IF(F10=1,0.5,1),0)</f>
        <v/>
      </c>
      <c r="G33" s="17">
        <f>IF(AND(G$3&lt;=S2_sol_div_annees,G$3&lt;=st_travaux_div_fin),S2_sol_div*IF(G10=1,0.5,1),0)</f>
        <v/>
      </c>
      <c r="H33" s="17">
        <f>IF(AND(H$3&lt;=S2_sol_div_annees,H$3&lt;=st_travaux_div_fin),S2_sol_div*IF(H10=1,0.5,1),0)</f>
        <v/>
      </c>
      <c r="I33" s="17">
        <f>IF(AND(I$3&lt;=S2_sol_div_annees,I$3&lt;=st_travaux_div_fin),S2_sol_div*IF(I10=1,0.5,1),0)</f>
        <v/>
      </c>
      <c r="J33" s="17">
        <f>IF(AND(J$3&lt;=S2_sol_div_annees,J$3&lt;=st_travaux_div_fin),S2_sol_div*IF(J10=1,0.5,1),0)</f>
        <v/>
      </c>
      <c r="K33" s="17">
        <f>IF(AND(K$3&lt;=S2_sol_div_annees,K$3&lt;=st_travaux_div_fin),S2_sol_div*IF(K10=1,0.5,1),0)</f>
        <v/>
      </c>
      <c r="L33" s="17">
        <f>IF(AND(L$3&lt;=S2_sol_div_annees,L$3&lt;=st_travaux_div_fin),S2_sol_div*IF(L10=1,0.5,1),0)</f>
        <v/>
      </c>
      <c r="M33" s="17">
        <f>IF(AND(M$3&lt;=S2_sol_div_annees,M$3&lt;=st_travaux_div_fin),S2_sol_div*IF(M10=1,0.5,1),0)</f>
        <v/>
      </c>
      <c r="N33" s="17">
        <f>IF(AND(N$3&lt;=S2_sol_div_annees,N$3&lt;=st_travaux_div_fin),S2_sol_div*IF(N10=1,0.5,1),0)</f>
        <v/>
      </c>
      <c r="O33" s="17">
        <f>IF(AND(O$3&lt;=S2_sol_div_annees,O$3&lt;=st_travaux_div_fin),S2_sol_div*IF(O10=1,0.5,1),0)</f>
        <v/>
      </c>
      <c r="P33" s="17">
        <f>IF(AND(P$3&lt;=S2_sol_div_annees,P$3&lt;=st_travaux_div_fin),S2_sol_div*IF(P10=1,0.5,1),0)</f>
        <v/>
      </c>
      <c r="Q33" s="17">
        <f>IF(AND(Q$3&lt;=S2_sol_div_annees,Q$3&lt;=st_travaux_div_fin),S2_sol_div*IF(Q10=1,0.5,1),0)</f>
        <v/>
      </c>
      <c r="R33" s="17">
        <f>IF(AND(R$3&lt;=S2_sol_div_annees,R$3&lt;=st_travaux_div_fin),S2_sol_div*IF(R10=1,0.5,1),0)</f>
        <v/>
      </c>
      <c r="S33" s="17">
        <f>IF(AND(S$3&lt;=S2_sol_div_annees,S$3&lt;=st_travaux_div_fin),S2_sol_div*IF(S10=1,0.5,1),0)</f>
        <v/>
      </c>
      <c r="T33" s="17">
        <f>IF(AND(T$3&lt;=S2_sol_div_annees,T$3&lt;=st_travaux_div_fin),S2_sol_div*IF(T10=1,0.5,1),0)</f>
        <v/>
      </c>
      <c r="U33" s="17">
        <f>IF(AND(U$3&lt;=S2_sol_div_annees,U$3&lt;=st_travaux_div_fin),S2_sol_div*IF(U10=1,0.5,1),0)</f>
        <v/>
      </c>
      <c r="V33" s="17">
        <f>IF(AND(V$3&lt;=S2_sol_div_annees,V$3&lt;=st_travaux_div_fin),S2_sol_div*IF(V10=1,0.5,1),0)</f>
        <v/>
      </c>
      <c r="W33" s="17">
        <f>IF(AND(W$3&lt;=S2_sol_div_annees,W$3&lt;=st_travaux_div_fin),S2_sol_div*IF(W10=1,0.5,1),0)</f>
        <v/>
      </c>
      <c r="X33" s="17">
        <f>IF(AND(X$3&lt;=S2_sol_div_annees,X$3&lt;=st_travaux_div_fin),S2_sol_div*IF(X10=1,0.5,1),0)</f>
        <v/>
      </c>
    </row>
    <row r="34">
      <c r="A34" s="2" t="inlineStr">
        <is>
          <t>rdt_dot</t>
        </is>
      </c>
      <c r="B34" s="2" t="inlineStr">
        <is>
          <t>Rendement réel de la dotation de l'année</t>
        </is>
      </c>
      <c r="C34" s="2" t="inlineStr">
        <is>
          <t>%</t>
        </is>
      </c>
      <c r="E34" s="20">
        <f>dot_rendement+st_travaux_dot_rdt_delta+IF(E10=1,-0.25,0)</f>
        <v/>
      </c>
      <c r="F34" s="20">
        <f>dot_rendement+st_travaux_dot_rdt_delta+IF(F10=1,-0.25,0)</f>
        <v/>
      </c>
      <c r="G34" s="20">
        <f>dot_rendement+st_travaux_dot_rdt_delta+IF(G10=1,-0.25,0)</f>
        <v/>
      </c>
      <c r="H34" s="20">
        <f>dot_rendement+st_travaux_dot_rdt_delta+IF(H10=1,-0.25,0)</f>
        <v/>
      </c>
      <c r="I34" s="20">
        <f>dot_rendement+st_travaux_dot_rdt_delta+IF(I10=1,-0.25,0)</f>
        <v/>
      </c>
      <c r="J34" s="20">
        <f>dot_rendement+st_travaux_dot_rdt_delta+IF(J10=1,-0.25,0)</f>
        <v/>
      </c>
      <c r="K34" s="20">
        <f>dot_rendement+st_travaux_dot_rdt_delta+IF(K10=1,-0.25,0)</f>
        <v/>
      </c>
      <c r="L34" s="20">
        <f>dot_rendement+st_travaux_dot_rdt_delta+IF(L10=1,-0.25,0)</f>
        <v/>
      </c>
      <c r="M34" s="20">
        <f>dot_rendement+st_travaux_dot_rdt_delta+IF(M10=1,-0.25,0)</f>
        <v/>
      </c>
      <c r="N34" s="20">
        <f>dot_rendement+st_travaux_dot_rdt_delta+IF(N10=1,-0.25,0)</f>
        <v/>
      </c>
      <c r="O34" s="20">
        <f>dot_rendement+st_travaux_dot_rdt_delta+IF(O10=1,-0.25,0)</f>
        <v/>
      </c>
      <c r="P34" s="20">
        <f>dot_rendement+st_travaux_dot_rdt_delta+IF(P10=1,-0.25,0)</f>
        <v/>
      </c>
      <c r="Q34" s="20">
        <f>dot_rendement+st_travaux_dot_rdt_delta+IF(Q10=1,-0.25,0)</f>
        <v/>
      </c>
      <c r="R34" s="20">
        <f>dot_rendement+st_travaux_dot_rdt_delta+IF(R10=1,-0.25,0)</f>
        <v/>
      </c>
      <c r="S34" s="20">
        <f>dot_rendement+st_travaux_dot_rdt_delta+IF(S10=1,-0.25,0)</f>
        <v/>
      </c>
      <c r="T34" s="20">
        <f>dot_rendement+st_travaux_dot_rdt_delta+IF(T10=1,-0.25,0)</f>
        <v/>
      </c>
      <c r="U34" s="20">
        <f>dot_rendement+st_travaux_dot_rdt_delta+IF(U10=1,-0.25,0)</f>
        <v/>
      </c>
      <c r="V34" s="20">
        <f>dot_rendement+st_travaux_dot_rdt_delta+IF(V10=1,-0.25,0)</f>
        <v/>
      </c>
      <c r="W34" s="20">
        <f>dot_rendement+st_travaux_dot_rdt_delta+IF(W10=1,-0.25,0)</f>
        <v/>
      </c>
      <c r="X34" s="20">
        <f>dot_rendement+st_travaux_dot_rdt_delta+IF(X10=1,-0.25,0)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Prix de l'énergie ×2 pendant 3 ans (années 4 à 6)</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D5*(1+g_salaires+st_energie_g_sal_extra)</f>
        <v/>
      </c>
      <c r="F5" s="21">
        <f>E5*(1+g_salaires+st_energie_g_sal_extra)</f>
        <v/>
      </c>
      <c r="G5" s="21">
        <f>F5*(1+g_salaires+st_energie_g_sal_extra)</f>
        <v/>
      </c>
      <c r="H5" s="21">
        <f>G5*(1+g_salaires+st_energie_g_sal_extra)</f>
        <v/>
      </c>
      <c r="I5" s="21">
        <f>H5*(1+g_salaires+st_energie_g_sal_extra)</f>
        <v/>
      </c>
      <c r="J5" s="21">
        <f>I5*(1+g_salaires+st_energie_g_sal_extra)</f>
        <v/>
      </c>
      <c r="K5" s="21">
        <f>J5*(1+g_salaires+st_energie_g_sal_extra)</f>
        <v/>
      </c>
      <c r="L5" s="21">
        <f>K5*(1+g_salaires+st_energie_g_sal_extra)</f>
        <v/>
      </c>
      <c r="M5" s="21">
        <f>L5*(1+g_salaires+st_energie_g_sal_extra)</f>
        <v/>
      </c>
      <c r="N5" s="21">
        <f>M5*(1+g_salaires+st_energie_g_sal_extra)</f>
        <v/>
      </c>
      <c r="O5" s="21">
        <f>N5*(1+g_salaires+st_energie_g_sal_extra)</f>
        <v/>
      </c>
      <c r="P5" s="21">
        <f>O5*(1+g_salaires+st_energie_g_sal_extra)</f>
        <v/>
      </c>
      <c r="Q5" s="21">
        <f>P5*(1+g_salaires+st_energie_g_sal_extra)</f>
        <v/>
      </c>
      <c r="R5" s="21">
        <f>Q5*(1+g_salaires+st_energie_g_sal_extra)</f>
        <v/>
      </c>
      <c r="S5" s="21">
        <f>R5*(1+g_salaires+st_energie_g_sal_extra)</f>
        <v/>
      </c>
      <c r="T5" s="21">
        <f>S5*(1+g_salaires+st_energie_g_sal_extra)</f>
        <v/>
      </c>
      <c r="U5" s="21">
        <f>T5*(1+g_salaires+st_energie_g_sal_extra)</f>
        <v/>
      </c>
      <c r="V5" s="21">
        <f>U5*(1+g_salaires+st_energie_g_sal_extra)</f>
        <v/>
      </c>
      <c r="W5" s="21">
        <f>V5*(1+g_salaires+st_energie_g_sal_extra)</f>
        <v/>
      </c>
      <c r="X5" s="21">
        <f>W5*(1+g_salaires+st_energie_g_sal_extra)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IF(st_energie_crise_an&gt;0,IF(E$3=st_energie_crise_an,1,IF(E$3=st_energie_crise_an+1,2,0)),0)</f>
        <v/>
      </c>
      <c r="F10" s="21">
        <f>IF(st_energie_crise_an&gt;0,IF(F$3=st_energie_crise_an,1,IF(F$3=st_energie_crise_an+1,2,0)),0)</f>
        <v/>
      </c>
      <c r="G10" s="21">
        <f>IF(st_energie_crise_an&gt;0,IF(G$3=st_energie_crise_an,1,IF(G$3=st_energie_crise_an+1,2,0)),0)</f>
        <v/>
      </c>
      <c r="H10" s="21">
        <f>IF(st_energie_crise_an&gt;0,IF(H$3=st_energie_crise_an,1,IF(H$3=st_energie_crise_an+1,2,0)),0)</f>
        <v/>
      </c>
      <c r="I10" s="21">
        <f>IF(st_energie_crise_an&gt;0,IF(I$3=st_energie_crise_an,1,IF(I$3=st_energie_crise_an+1,2,0)),0)</f>
        <v/>
      </c>
      <c r="J10" s="21">
        <f>IF(st_energie_crise_an&gt;0,IF(J$3=st_energie_crise_an,1,IF(J$3=st_energie_crise_an+1,2,0)),0)</f>
        <v/>
      </c>
      <c r="K10" s="21">
        <f>IF(st_energie_crise_an&gt;0,IF(K$3=st_energie_crise_an,1,IF(K$3=st_energie_crise_an+1,2,0)),0)</f>
        <v/>
      </c>
      <c r="L10" s="21">
        <f>IF(st_energie_crise_an&gt;0,IF(L$3=st_energie_crise_an,1,IF(L$3=st_energie_crise_an+1,2,0)),0)</f>
        <v/>
      </c>
      <c r="M10" s="21">
        <f>IF(st_energie_crise_an&gt;0,IF(M$3=st_energie_crise_an,1,IF(M$3=st_energie_crise_an+1,2,0)),0)</f>
        <v/>
      </c>
      <c r="N10" s="21">
        <f>IF(st_energie_crise_an&gt;0,IF(N$3=st_energie_crise_an,1,IF(N$3=st_energie_crise_an+1,2,0)),0)</f>
        <v/>
      </c>
      <c r="O10" s="21">
        <f>IF(st_energie_crise_an&gt;0,IF(O$3=st_energie_crise_an,1,IF(O$3=st_energie_crise_an+1,2,0)),0)</f>
        <v/>
      </c>
      <c r="P10" s="21">
        <f>IF(st_energie_crise_an&gt;0,IF(P$3=st_energie_crise_an,1,IF(P$3=st_energie_crise_an+1,2,0)),0)</f>
        <v/>
      </c>
      <c r="Q10" s="21">
        <f>IF(st_energie_crise_an&gt;0,IF(Q$3=st_energie_crise_an,1,IF(Q$3=st_energie_crise_an+1,2,0)),0)</f>
        <v/>
      </c>
      <c r="R10" s="21">
        <f>IF(st_energie_crise_an&gt;0,IF(R$3=st_energie_crise_an,1,IF(R$3=st_energie_crise_an+1,2,0)),0)</f>
        <v/>
      </c>
      <c r="S10" s="21">
        <f>IF(st_energie_crise_an&gt;0,IF(S$3=st_energie_crise_an,1,IF(S$3=st_energie_crise_an+1,2,0)),0)</f>
        <v/>
      </c>
      <c r="T10" s="21">
        <f>IF(st_energie_crise_an&gt;0,IF(T$3=st_energie_crise_an,1,IF(T$3=st_energie_crise_an+1,2,0)),0)</f>
        <v/>
      </c>
      <c r="U10" s="21">
        <f>IF(st_energie_crise_an&gt;0,IF(U$3=st_energie_crise_an,1,IF(U$3=st_energie_crise_an+1,2,0)),0)</f>
        <v/>
      </c>
      <c r="V10" s="21">
        <f>IF(st_energie_crise_an&gt;0,IF(V$3=st_energie_crise_an,1,IF(V$3=st_energie_crise_an+1,2,0)),0)</f>
        <v/>
      </c>
      <c r="W10" s="21">
        <f>IF(st_energie_crise_an&gt;0,IF(W$3=st_energie_crise_an,1,IF(W$3=st_energie_crise_an+1,2,0)),0)</f>
        <v/>
      </c>
      <c r="X10" s="21">
        <f>IF(st_energie_crise_an&gt;0,IF(X$3=st_energie_crise_an,1,IF(X$3=st_energie_crise_an+1,2,0)),0)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(bud_chauffage_S2+bud_hors_gel_S2+bud_electricite_S2)*E7*IF(AND(E$3&gt;=st_energie_energie_debut,E$3&lt;=st_energie_energie_fin),st_energie_energie_mult,1)</f>
        <v/>
      </c>
      <c r="F13" s="17">
        <f>(bud_chauffage_S2+bud_hors_gel_S2+bud_electricite_S2)*F7*IF(AND(F$3&gt;=st_energie_energie_debut,F$3&lt;=st_energie_energie_fin),st_energie_energie_mult,1)</f>
        <v/>
      </c>
      <c r="G13" s="17">
        <f>(bud_chauffage_S2+bud_hors_gel_S2+bud_electricite_S2)*G7*IF(AND(G$3&gt;=st_energie_energie_debut,G$3&lt;=st_energie_energie_fin),st_energie_energie_mult,1)</f>
        <v/>
      </c>
      <c r="H13" s="17">
        <f>(bud_chauffage_S2+bud_hors_gel_S2+bud_electricite_S2)*H7*IF(AND(H$3&gt;=st_energie_energie_debut,H$3&lt;=st_energie_energie_fin),st_energie_energie_mult,1)</f>
        <v/>
      </c>
      <c r="I13" s="17">
        <f>(bud_chauffage_S2+bud_hors_gel_S2+bud_electricite_S2)*I7*IF(AND(I$3&gt;=st_energie_energie_debut,I$3&lt;=st_energie_energie_fin),st_energie_energie_mult,1)</f>
        <v/>
      </c>
      <c r="J13" s="17">
        <f>(bud_chauffage_S2+bud_hors_gel_S2+bud_electricite_S2)*J7*IF(AND(J$3&gt;=st_energie_energie_debut,J$3&lt;=st_energie_energie_fin),st_energie_energie_mult,1)</f>
        <v/>
      </c>
      <c r="K13" s="17">
        <f>(bud_chauffage_S2+bud_hors_gel_S2+bud_electricite_S2)*K7*IF(AND(K$3&gt;=st_energie_energie_debut,K$3&lt;=st_energie_energie_fin),st_energie_energie_mult,1)</f>
        <v/>
      </c>
      <c r="L13" s="17">
        <f>(bud_chauffage_S2+bud_hors_gel_S2+bud_electricite_S2)*L7*IF(AND(L$3&gt;=st_energie_energie_debut,L$3&lt;=st_energie_energie_fin),st_energie_energie_mult,1)</f>
        <v/>
      </c>
      <c r="M13" s="17">
        <f>(bud_chauffage_S2+bud_hors_gel_S2+bud_electricite_S2)*M7*IF(AND(M$3&gt;=st_energie_energie_debut,M$3&lt;=st_energie_energie_fin),st_energie_energie_mult,1)</f>
        <v/>
      </c>
      <c r="N13" s="17">
        <f>(bud_chauffage_S2+bud_hors_gel_S2+bud_electricite_S2)*N7*IF(AND(N$3&gt;=st_energie_energie_debut,N$3&lt;=st_energie_energie_fin),st_energie_energie_mult,1)</f>
        <v/>
      </c>
      <c r="O13" s="17">
        <f>(bud_chauffage_S2+bud_hors_gel_S2+bud_electricite_S2)*O7*IF(AND(O$3&gt;=st_energie_energie_debut,O$3&lt;=st_energie_energie_fin),st_energie_energie_mult,1)</f>
        <v/>
      </c>
      <c r="P13" s="17">
        <f>(bud_chauffage_S2+bud_hors_gel_S2+bud_electricite_S2)*P7*IF(AND(P$3&gt;=st_energie_energie_debut,P$3&lt;=st_energie_energie_fin),st_energie_energie_mult,1)</f>
        <v/>
      </c>
      <c r="Q13" s="17">
        <f>(bud_chauffage_S2+bud_hors_gel_S2+bud_electricite_S2)*Q7*IF(AND(Q$3&gt;=st_energie_energie_debut,Q$3&lt;=st_energie_energie_fin),st_energie_energie_mult,1)</f>
        <v/>
      </c>
      <c r="R13" s="17">
        <f>(bud_chauffage_S2+bud_hors_gel_S2+bud_electricite_S2)*R7*IF(AND(R$3&gt;=st_energie_energie_debut,R$3&lt;=st_energie_energie_fin),st_energie_energie_mult,1)</f>
        <v/>
      </c>
      <c r="S13" s="17">
        <f>(bud_chauffage_S2+bud_hors_gel_S2+bud_electricite_S2)*S7*IF(AND(S$3&gt;=st_energie_energie_debut,S$3&lt;=st_energie_energie_fin),st_energie_energie_mult,1)</f>
        <v/>
      </c>
      <c r="T13" s="17">
        <f>(bud_chauffage_S2+bud_hors_gel_S2+bud_electricite_S2)*T7*IF(AND(T$3&gt;=st_energie_energie_debut,T$3&lt;=st_energie_energie_fin),st_energie_energie_mult,1)</f>
        <v/>
      </c>
      <c r="U13" s="17">
        <f>(bud_chauffage_S2+bud_hors_gel_S2+bud_electricite_S2)*U7*IF(AND(U$3&gt;=st_energie_energie_debut,U$3&lt;=st_energie_energie_fin),st_energie_energie_mult,1)</f>
        <v/>
      </c>
      <c r="V13" s="17">
        <f>(bud_chauffage_S2+bud_hors_gel_S2+bud_electricite_S2)*V7*IF(AND(V$3&gt;=st_energie_energie_debut,V$3&lt;=st_energie_energie_fin),st_energie_energie_mult,1)</f>
        <v/>
      </c>
      <c r="W13" s="17">
        <f>(bud_chauffage_S2+bud_hors_gel_S2+bud_electricite_S2)*W7*IF(AND(W$3&gt;=st_energie_energie_debut,W$3&lt;=st_energie_energie_fin),st_energie_energie_mult,1)</f>
        <v/>
      </c>
      <c r="X13" s="17">
        <f>(bud_chauffage_S2+bud_hors_gel_S2+bud_electricite_S2)*X7*IF(AND(X$3&gt;=st_energie_energie_debut,X$3&lt;=st_energie_energie_fin),st_energie_energie_mult,1)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IF(MOD(E$3,campagne_periode)=0,(D20+E15)*st_energie_mult_campagne*(1-E11*flex_report),0)</f>
        <v/>
      </c>
      <c r="F17" s="17">
        <f>IF(MOD(F$3,campagne_periode)=0,(E20+F15)*st_energie_mult_campagne*(1-F11*flex_report),0)</f>
        <v/>
      </c>
      <c r="G17" s="17">
        <f>IF(MOD(G$3,campagne_periode)=0,(F20+G15)*st_energie_mult_campagne*(1-G11*flex_report),0)</f>
        <v/>
      </c>
      <c r="H17" s="17">
        <f>IF(MOD(H$3,campagne_periode)=0,(G20+H15)*st_energie_mult_campagne*(1-H11*flex_report),0)</f>
        <v/>
      </c>
      <c r="I17" s="17">
        <f>IF(MOD(I$3,campagne_periode)=0,(H20+I15)*st_energie_mult_campagne*(1-I11*flex_report),0)</f>
        <v/>
      </c>
      <c r="J17" s="17">
        <f>IF(MOD(J$3,campagne_periode)=0,(I20+J15)*st_energie_mult_campagne*(1-J11*flex_report),0)</f>
        <v/>
      </c>
      <c r="K17" s="17">
        <f>IF(MOD(K$3,campagne_periode)=0,(J20+K15)*st_energie_mult_campagne*(1-K11*flex_report),0)</f>
        <v/>
      </c>
      <c r="L17" s="17">
        <f>IF(MOD(L$3,campagne_periode)=0,(K20+L15)*st_energie_mult_campagne*(1-L11*flex_report),0)</f>
        <v/>
      </c>
      <c r="M17" s="17">
        <f>IF(MOD(M$3,campagne_periode)=0,(L20+M15)*st_energie_mult_campagne*(1-M11*flex_report),0)</f>
        <v/>
      </c>
      <c r="N17" s="17">
        <f>IF(MOD(N$3,campagne_periode)=0,(M20+N15)*st_energie_mult_campagne*(1-N11*flex_report),0)</f>
        <v/>
      </c>
      <c r="O17" s="17">
        <f>IF(MOD(O$3,campagne_periode)=0,(N20+O15)*st_energie_mult_campagne*(1-O11*flex_report),0)</f>
        <v/>
      </c>
      <c r="P17" s="17">
        <f>IF(MOD(P$3,campagne_periode)=0,(O20+P15)*st_energie_mult_campagne*(1-P11*flex_report),0)</f>
        <v/>
      </c>
      <c r="Q17" s="17">
        <f>IF(MOD(Q$3,campagne_periode)=0,(P20+Q15)*st_energie_mult_campagne*(1-Q11*flex_report),0)</f>
        <v/>
      </c>
      <c r="R17" s="17">
        <f>IF(MOD(R$3,campagne_periode)=0,(Q20+R15)*st_energie_mult_campagne*(1-R11*flex_report),0)</f>
        <v/>
      </c>
      <c r="S17" s="17">
        <f>IF(MOD(S$3,campagne_periode)=0,(R20+S15)*st_energie_mult_campagne*(1-S11*flex_report),0)</f>
        <v/>
      </c>
      <c r="T17" s="17">
        <f>IF(MOD(T$3,campagne_periode)=0,(S20+T15)*st_energie_mult_campagne*(1-T11*flex_report),0)</f>
        <v/>
      </c>
      <c r="U17" s="17">
        <f>IF(MOD(U$3,campagne_periode)=0,(T20+U15)*st_energie_mult_campagne*(1-U11*flex_report),0)</f>
        <v/>
      </c>
      <c r="V17" s="17">
        <f>IF(MOD(V$3,campagne_periode)=0,(U20+V15)*st_energie_mult_campagne*(1-V11*flex_report),0)</f>
        <v/>
      </c>
      <c r="W17" s="17">
        <f>IF(MOD(W$3,campagne_periode)=0,(V20+W15)*st_energie_mult_campagne*(1-W11*flex_report),0)</f>
        <v/>
      </c>
      <c r="X17" s="17">
        <f>IF(MOD(X$3,campagne_periode)=0,(W20+X15)*st_energie_mult_campagne*(1-X11*flex_report),0)</f>
        <v/>
      </c>
    </row>
    <row r="18">
      <c r="A18" s="2" t="inlineStr">
        <is>
          <t>choc_trav</t>
        </is>
      </c>
      <c r="B18" s="2" t="inlineStr">
        <is>
          <t>Sinistre ou découverte non assurés</t>
        </is>
      </c>
      <c r="C18" s="2" t="inlineStr">
        <is>
          <t>€ 2026</t>
        </is>
      </c>
      <c r="E18" s="17">
        <f>IF(E$3=st_energie_choc_trav_an,st_energie_choc_trav_montant,0)</f>
        <v/>
      </c>
      <c r="F18" s="17">
        <f>IF(F$3=st_energie_choc_trav_an,st_energie_choc_trav_montant,0)</f>
        <v/>
      </c>
      <c r="G18" s="17">
        <f>IF(G$3=st_energie_choc_trav_an,st_energie_choc_trav_montant,0)</f>
        <v/>
      </c>
      <c r="H18" s="17">
        <f>IF(H$3=st_energie_choc_trav_an,st_energie_choc_trav_montant,0)</f>
        <v/>
      </c>
      <c r="I18" s="17">
        <f>IF(I$3=st_energie_choc_trav_an,st_energie_choc_trav_montant,0)</f>
        <v/>
      </c>
      <c r="J18" s="17">
        <f>IF(J$3=st_energie_choc_trav_an,st_energie_choc_trav_montant,0)</f>
        <v/>
      </c>
      <c r="K18" s="17">
        <f>IF(K$3=st_energie_choc_trav_an,st_energie_choc_trav_montant,0)</f>
        <v/>
      </c>
      <c r="L18" s="17">
        <f>IF(L$3=st_energie_choc_trav_an,st_energie_choc_trav_montant,0)</f>
        <v/>
      </c>
      <c r="M18" s="17">
        <f>IF(M$3=st_energie_choc_trav_an,st_energie_choc_trav_montant,0)</f>
        <v/>
      </c>
      <c r="N18" s="17">
        <f>IF(N$3=st_energie_choc_trav_an,st_energie_choc_trav_montant,0)</f>
        <v/>
      </c>
      <c r="O18" s="17">
        <f>IF(O$3=st_energie_choc_trav_an,st_energie_choc_trav_montant,0)</f>
        <v/>
      </c>
      <c r="P18" s="17">
        <f>IF(P$3=st_energie_choc_trav_an,st_energie_choc_trav_montant,0)</f>
        <v/>
      </c>
      <c r="Q18" s="17">
        <f>IF(Q$3=st_energie_choc_trav_an,st_energie_choc_trav_montant,0)</f>
        <v/>
      </c>
      <c r="R18" s="17">
        <f>IF(R$3=st_energie_choc_trav_an,st_energie_choc_trav_montant,0)</f>
        <v/>
      </c>
      <c r="S18" s="17">
        <f>IF(S$3=st_energie_choc_trav_an,st_energie_choc_trav_montant,0)</f>
        <v/>
      </c>
      <c r="T18" s="17">
        <f>IF(T$3=st_energie_choc_trav_an,st_energie_choc_trav_montant,0)</f>
        <v/>
      </c>
      <c r="U18" s="17">
        <f>IF(U$3=st_energie_choc_trav_an,st_energie_choc_trav_montant,0)</f>
        <v/>
      </c>
      <c r="V18" s="17">
        <f>IF(V$3=st_energie_choc_trav_an,st_energie_choc_trav_montant,0)</f>
        <v/>
      </c>
      <c r="W18" s="17">
        <f>IF(W$3=st_energie_choc_trav_an,st_energie_choc_trav_montant,0)</f>
        <v/>
      </c>
      <c r="X18" s="17">
        <f>IF(X$3=st_energie_choc_trav_an,st_energie_choc_trav_montant,0)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(S2_ech_log*mot_log_cn+S2_ech_stock*mot_stock_cn+S2_ech_pv*mot_pv_cn+S2_ech_bois*mot_bois_cn)*E22*E8*IF(E$3&gt;=st_energie_debut_mult,st_energie_mult_A,1)*IF(E10=1,1-0.05,IF(E10=2,1-0.02,1))</f>
        <v/>
      </c>
      <c r="F23" s="17">
        <f>(S2_ech_log*mot_log_cn+S2_ech_stock*mot_stock_cn+S2_ech_pv*mot_pv_cn+S2_ech_bois*mot_bois_cn)*F22*F8*IF(F$3&gt;=st_energie_debut_mult,st_energie_mult_A,1)*IF(F10=1,1-0.05,IF(F10=2,1-0.02,1))</f>
        <v/>
      </c>
      <c r="G23" s="17">
        <f>(S2_ech_log*mot_log_cn+S2_ech_stock*mot_stock_cn+S2_ech_pv*mot_pv_cn+S2_ech_bois*mot_bois_cn)*G22*G8*IF(G$3&gt;=st_energie_debut_mult,st_energie_mult_A,1)*IF(G10=1,1-0.05,IF(G10=2,1-0.02,1))</f>
        <v/>
      </c>
      <c r="H23" s="17">
        <f>(S2_ech_log*mot_log_cn+S2_ech_stock*mot_stock_cn+S2_ech_pv*mot_pv_cn+S2_ech_bois*mot_bois_cn)*H22*H8*IF(H$3&gt;=st_energie_debut_mult,st_energie_mult_A,1)*IF(H10=1,1-0.05,IF(H10=2,1-0.02,1))</f>
        <v/>
      </c>
      <c r="I23" s="17">
        <f>(S2_ech_log*mot_log_cn+S2_ech_stock*mot_stock_cn+S2_ech_pv*mot_pv_cn+S2_ech_bois*mot_bois_cn)*I22*I8*IF(I$3&gt;=st_energie_debut_mult,st_energie_mult_A,1)*IF(I10=1,1-0.05,IF(I10=2,1-0.02,1))</f>
        <v/>
      </c>
      <c r="J23" s="17">
        <f>(S2_ech_log*mot_log_cn+S2_ech_stock*mot_stock_cn+S2_ech_pv*mot_pv_cn+S2_ech_bois*mot_bois_cn)*J22*J8*IF(J$3&gt;=st_energie_debut_mult,st_energie_mult_A,1)*IF(J10=1,1-0.05,IF(J10=2,1-0.02,1))</f>
        <v/>
      </c>
      <c r="K23" s="17">
        <f>(S2_ech_log*mot_log_cn+S2_ech_stock*mot_stock_cn+S2_ech_pv*mot_pv_cn+S2_ech_bois*mot_bois_cn)*K22*K8*IF(K$3&gt;=st_energie_debut_mult,st_energie_mult_A,1)*IF(K10=1,1-0.05,IF(K10=2,1-0.02,1))</f>
        <v/>
      </c>
      <c r="L23" s="17">
        <f>(S2_ech_log*mot_log_cn+S2_ech_stock*mot_stock_cn+S2_ech_pv*mot_pv_cn+S2_ech_bois*mot_bois_cn)*L22*L8*IF(L$3&gt;=st_energie_debut_mult,st_energie_mult_A,1)*IF(L10=1,1-0.05,IF(L10=2,1-0.02,1))</f>
        <v/>
      </c>
      <c r="M23" s="17">
        <f>(S2_ech_log*mot_log_cn+S2_ech_stock*mot_stock_cn+S2_ech_pv*mot_pv_cn+S2_ech_bois*mot_bois_cn)*M22*M8*IF(M$3&gt;=st_energie_debut_mult,st_energie_mult_A,1)*IF(M10=1,1-0.05,IF(M10=2,1-0.02,1))</f>
        <v/>
      </c>
      <c r="N23" s="17">
        <f>(S2_ech_log*mot_log_cn+S2_ech_stock*mot_stock_cn+S2_ech_pv*mot_pv_cn+S2_ech_bois*mot_bois_cn)*N22*N8*IF(N$3&gt;=st_energie_debut_mult,st_energie_mult_A,1)*IF(N10=1,1-0.05,IF(N10=2,1-0.02,1))</f>
        <v/>
      </c>
      <c r="O23" s="17">
        <f>(S2_ech_log*mot_log_cn+S2_ech_stock*mot_stock_cn+S2_ech_pv*mot_pv_cn+S2_ech_bois*mot_bois_cn)*O22*O8*IF(O$3&gt;=st_energie_debut_mult,st_energie_mult_A,1)*IF(O10=1,1-0.05,IF(O10=2,1-0.02,1))</f>
        <v/>
      </c>
      <c r="P23" s="17">
        <f>(S2_ech_log*mot_log_cn+S2_ech_stock*mot_stock_cn+S2_ech_pv*mot_pv_cn+S2_ech_bois*mot_bois_cn)*P22*P8*IF(P$3&gt;=st_energie_debut_mult,st_energie_mult_A,1)*IF(P10=1,1-0.05,IF(P10=2,1-0.02,1))</f>
        <v/>
      </c>
      <c r="Q23" s="17">
        <f>(S2_ech_log*mot_log_cn+S2_ech_stock*mot_stock_cn+S2_ech_pv*mot_pv_cn+S2_ech_bois*mot_bois_cn)*Q22*Q8*IF(Q$3&gt;=st_energie_debut_mult,st_energie_mult_A,1)*IF(Q10=1,1-0.05,IF(Q10=2,1-0.02,1))</f>
        <v/>
      </c>
      <c r="R23" s="17">
        <f>(S2_ech_log*mot_log_cn+S2_ech_stock*mot_stock_cn+S2_ech_pv*mot_pv_cn+S2_ech_bois*mot_bois_cn)*R22*R8*IF(R$3&gt;=st_energie_debut_mult,st_energie_mult_A,1)*IF(R10=1,1-0.05,IF(R10=2,1-0.02,1))</f>
        <v/>
      </c>
      <c r="S23" s="17">
        <f>(S2_ech_log*mot_log_cn+S2_ech_stock*mot_stock_cn+S2_ech_pv*mot_pv_cn+S2_ech_bois*mot_bois_cn)*S22*S8*IF(S$3&gt;=st_energie_debut_mult,st_energie_mult_A,1)*IF(S10=1,1-0.05,IF(S10=2,1-0.02,1))</f>
        <v/>
      </c>
      <c r="T23" s="17">
        <f>(S2_ech_log*mot_log_cn+S2_ech_stock*mot_stock_cn+S2_ech_pv*mot_pv_cn+S2_ech_bois*mot_bois_cn)*T22*T8*IF(T$3&gt;=st_energie_debut_mult,st_energie_mult_A,1)*IF(T10=1,1-0.05,IF(T10=2,1-0.02,1))</f>
        <v/>
      </c>
      <c r="U23" s="17">
        <f>(S2_ech_log*mot_log_cn+S2_ech_stock*mot_stock_cn+S2_ech_pv*mot_pv_cn+S2_ech_bois*mot_bois_cn)*U22*U8*IF(U$3&gt;=st_energie_debut_mult,st_energie_mult_A,1)*IF(U10=1,1-0.05,IF(U10=2,1-0.02,1))</f>
        <v/>
      </c>
      <c r="V23" s="17">
        <f>(S2_ech_log*mot_log_cn+S2_ech_stock*mot_stock_cn+S2_ech_pv*mot_pv_cn+S2_ech_bois*mot_bois_cn)*V22*V8*IF(V$3&gt;=st_energie_debut_mult,st_energie_mult_A,1)*IF(V10=1,1-0.05,IF(V10=2,1-0.02,1))</f>
        <v/>
      </c>
      <c r="W23" s="17">
        <f>(S2_ech_log*mot_log_cn+S2_ech_stock*mot_stock_cn+S2_ech_pv*mot_pv_cn+S2_ech_bois*mot_bois_cn)*W22*W8*IF(W$3&gt;=st_energie_debut_mult,st_energie_mult_A,1)*IF(W10=1,1-0.05,IF(W10=2,1-0.02,1))</f>
        <v/>
      </c>
      <c r="X23" s="17">
        <f>(S2_ech_log*mot_log_cn+S2_ech_stock*mot_stock_cn+S2_ech_pv*mot_pv_cn+S2_ech_bois*mot_bois_cn)*X22*X8*IF(X$3&gt;=st_energie_debut_mult,st_energie_mult_A,1)*IF(X10=1,1-0.05,IF(X10=2,1-0.02,1))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(S2_ech_eq_std*mot_eq_std_cn+S2_ech_eq_ret*mot_eq_ret_cn)*E22*E8*IF(E$3&gt;=st_energie_debut_mult,st_energie_mult_B,1)*IF(E10=1,1-0.15,IF(E10=2,1-0.05,1))</f>
        <v/>
      </c>
      <c r="F24" s="17">
        <f>(S2_ech_eq_std*mot_eq_std_cn+S2_ech_eq_ret*mot_eq_ret_cn)*F22*F8*IF(F$3&gt;=st_energie_debut_mult,st_energie_mult_B,1)*IF(F10=1,1-0.15,IF(F10=2,1-0.05,1))</f>
        <v/>
      </c>
      <c r="G24" s="17">
        <f>(S2_ech_eq_std*mot_eq_std_cn+S2_ech_eq_ret*mot_eq_ret_cn)*G22*G8*IF(G$3&gt;=st_energie_debut_mult,st_energie_mult_B,1)*IF(G10=1,1-0.15,IF(G10=2,1-0.05,1))</f>
        <v/>
      </c>
      <c r="H24" s="17">
        <f>(S2_ech_eq_std*mot_eq_std_cn+S2_ech_eq_ret*mot_eq_ret_cn)*H22*H8*IF(H$3&gt;=st_energie_debut_mult,st_energie_mult_B,1)*IF(H10=1,1-0.15,IF(H10=2,1-0.05,1))</f>
        <v/>
      </c>
      <c r="I24" s="17">
        <f>(S2_ech_eq_std*mot_eq_std_cn+S2_ech_eq_ret*mot_eq_ret_cn)*I22*I8*IF(I$3&gt;=st_energie_debut_mult,st_energie_mult_B,1)*IF(I10=1,1-0.15,IF(I10=2,1-0.05,1))</f>
        <v/>
      </c>
      <c r="J24" s="17">
        <f>(S2_ech_eq_std*mot_eq_std_cn+S2_ech_eq_ret*mot_eq_ret_cn)*J22*J8*IF(J$3&gt;=st_energie_debut_mult,st_energie_mult_B,1)*IF(J10=1,1-0.15,IF(J10=2,1-0.05,1))</f>
        <v/>
      </c>
      <c r="K24" s="17">
        <f>(S2_ech_eq_std*mot_eq_std_cn+S2_ech_eq_ret*mot_eq_ret_cn)*K22*K8*IF(K$3&gt;=st_energie_debut_mult,st_energie_mult_B,1)*IF(K10=1,1-0.15,IF(K10=2,1-0.05,1))</f>
        <v/>
      </c>
      <c r="L24" s="17">
        <f>(S2_ech_eq_std*mot_eq_std_cn+S2_ech_eq_ret*mot_eq_ret_cn)*L22*L8*IF(L$3&gt;=st_energie_debut_mult,st_energie_mult_B,1)*IF(L10=1,1-0.15,IF(L10=2,1-0.05,1))</f>
        <v/>
      </c>
      <c r="M24" s="17">
        <f>(S2_ech_eq_std*mot_eq_std_cn+S2_ech_eq_ret*mot_eq_ret_cn)*M22*M8*IF(M$3&gt;=st_energie_debut_mult,st_energie_mult_B,1)*IF(M10=1,1-0.15,IF(M10=2,1-0.05,1))</f>
        <v/>
      </c>
      <c r="N24" s="17">
        <f>(S2_ech_eq_std*mot_eq_std_cn+S2_ech_eq_ret*mot_eq_ret_cn)*N22*N8*IF(N$3&gt;=st_energie_debut_mult,st_energie_mult_B,1)*IF(N10=1,1-0.15,IF(N10=2,1-0.05,1))</f>
        <v/>
      </c>
      <c r="O24" s="17">
        <f>(S2_ech_eq_std*mot_eq_std_cn+S2_ech_eq_ret*mot_eq_ret_cn)*O22*O8*IF(O$3&gt;=st_energie_debut_mult,st_energie_mult_B,1)*IF(O10=1,1-0.15,IF(O10=2,1-0.05,1))</f>
        <v/>
      </c>
      <c r="P24" s="17">
        <f>(S2_ech_eq_std*mot_eq_std_cn+S2_ech_eq_ret*mot_eq_ret_cn)*P22*P8*IF(P$3&gt;=st_energie_debut_mult,st_energie_mult_B,1)*IF(P10=1,1-0.15,IF(P10=2,1-0.05,1))</f>
        <v/>
      </c>
      <c r="Q24" s="17">
        <f>(S2_ech_eq_std*mot_eq_std_cn+S2_ech_eq_ret*mot_eq_ret_cn)*Q22*Q8*IF(Q$3&gt;=st_energie_debut_mult,st_energie_mult_B,1)*IF(Q10=1,1-0.15,IF(Q10=2,1-0.05,1))</f>
        <v/>
      </c>
      <c r="R24" s="17">
        <f>(S2_ech_eq_std*mot_eq_std_cn+S2_ech_eq_ret*mot_eq_ret_cn)*R22*R8*IF(R$3&gt;=st_energie_debut_mult,st_energie_mult_B,1)*IF(R10=1,1-0.15,IF(R10=2,1-0.05,1))</f>
        <v/>
      </c>
      <c r="S24" s="17">
        <f>(S2_ech_eq_std*mot_eq_std_cn+S2_ech_eq_ret*mot_eq_ret_cn)*S22*S8*IF(S$3&gt;=st_energie_debut_mult,st_energie_mult_B,1)*IF(S10=1,1-0.15,IF(S10=2,1-0.05,1))</f>
        <v/>
      </c>
      <c r="T24" s="17">
        <f>(S2_ech_eq_std*mot_eq_std_cn+S2_ech_eq_ret*mot_eq_ret_cn)*T22*T8*IF(T$3&gt;=st_energie_debut_mult,st_energie_mult_B,1)*IF(T10=1,1-0.15,IF(T10=2,1-0.05,1))</f>
        <v/>
      </c>
      <c r="U24" s="17">
        <f>(S2_ech_eq_std*mot_eq_std_cn+S2_ech_eq_ret*mot_eq_ret_cn)*U22*U8*IF(U$3&gt;=st_energie_debut_mult,st_energie_mult_B,1)*IF(U10=1,1-0.15,IF(U10=2,1-0.05,1))</f>
        <v/>
      </c>
      <c r="V24" s="17">
        <f>(S2_ech_eq_std*mot_eq_std_cn+S2_ech_eq_ret*mot_eq_ret_cn)*V22*V8*IF(V$3&gt;=st_energie_debut_mult,st_energie_mult_B,1)*IF(V10=1,1-0.15,IF(V10=2,1-0.05,1))</f>
        <v/>
      </c>
      <c r="W24" s="17">
        <f>(S2_ech_eq_std*mot_eq_std_cn+S2_ech_eq_ret*mot_eq_ret_cn)*W22*W8*IF(W$3&gt;=st_energie_debut_mult,st_energie_mult_B,1)*IF(W10=1,1-0.15,IF(W10=2,1-0.05,1))</f>
        <v/>
      </c>
      <c r="X24" s="17">
        <f>(S2_ech_eq_std*mot_eq_std_cn+S2_ech_eq_ret*mot_eq_ret_cn)*X22*X8*IF(X$3&gt;=st_energie_debut_mult,st_energie_mult_B,1)*IF(X10=1,1-0.15,IF(X10=2,1-0.05,1))</f>
        <v/>
      </c>
    </row>
    <row r="25">
      <c r="A25" s="2" t="inlineStr">
        <is>
          <t>act_C</t>
        </is>
      </c>
      <c r="B25" s="2" t="inlineStr">
        <is>
          <t>Contribution des activités occasionnelles (classe C)</t>
        </is>
      </c>
      <c r="C25" s="2" t="inlineStr">
        <is>
          <t>€ 2026</t>
        </is>
      </c>
      <c r="E25" s="17">
        <f>(S2_ech_tourn*mot_tourn_cn)*E22*E8*IF(E$3&gt;=st_energie_debut_mult,st_energie_mult_C,1)*IF(E10=1,1-0.8,IF(E10=2,1-0.3,1))</f>
        <v/>
      </c>
      <c r="F25" s="17">
        <f>(S2_ech_tourn*mot_tourn_cn)*F22*F8*IF(F$3&gt;=st_energie_debut_mult,st_energie_mult_C,1)*IF(F10=1,1-0.8,IF(F10=2,1-0.3,1))</f>
        <v/>
      </c>
      <c r="G25" s="17">
        <f>(S2_ech_tourn*mot_tourn_cn)*G22*G8*IF(G$3&gt;=st_energie_debut_mult,st_energie_mult_C,1)*IF(G10=1,1-0.8,IF(G10=2,1-0.3,1))</f>
        <v/>
      </c>
      <c r="H25" s="17">
        <f>(S2_ech_tourn*mot_tourn_cn)*H22*H8*IF(H$3&gt;=st_energie_debut_mult,st_energie_mult_C,1)*IF(H10=1,1-0.8,IF(H10=2,1-0.3,1))</f>
        <v/>
      </c>
      <c r="I25" s="17">
        <f>(S2_ech_tourn*mot_tourn_cn)*I22*I8*IF(I$3&gt;=st_energie_debut_mult,st_energie_mult_C,1)*IF(I10=1,1-0.8,IF(I10=2,1-0.3,1))</f>
        <v/>
      </c>
      <c r="J25" s="17">
        <f>(S2_ech_tourn*mot_tourn_cn)*J22*J8*IF(J$3&gt;=st_energie_debut_mult,st_energie_mult_C,1)*IF(J10=1,1-0.8,IF(J10=2,1-0.3,1))</f>
        <v/>
      </c>
      <c r="K25" s="17">
        <f>(S2_ech_tourn*mot_tourn_cn)*K22*K8*IF(K$3&gt;=st_energie_debut_mult,st_energie_mult_C,1)*IF(K10=1,1-0.8,IF(K10=2,1-0.3,1))</f>
        <v/>
      </c>
      <c r="L25" s="17">
        <f>(S2_ech_tourn*mot_tourn_cn)*L22*L8*IF(L$3&gt;=st_energie_debut_mult,st_energie_mult_C,1)*IF(L10=1,1-0.8,IF(L10=2,1-0.3,1))</f>
        <v/>
      </c>
      <c r="M25" s="17">
        <f>(S2_ech_tourn*mot_tourn_cn)*M22*M8*IF(M$3&gt;=st_energie_debut_mult,st_energie_mult_C,1)*IF(M10=1,1-0.8,IF(M10=2,1-0.3,1))</f>
        <v/>
      </c>
      <c r="N25" s="17">
        <f>(S2_ech_tourn*mot_tourn_cn)*N22*N8*IF(N$3&gt;=st_energie_debut_mult,st_energie_mult_C,1)*IF(N10=1,1-0.8,IF(N10=2,1-0.3,1))</f>
        <v/>
      </c>
      <c r="O25" s="17">
        <f>(S2_ech_tourn*mot_tourn_cn)*O22*O8*IF(O$3&gt;=st_energie_debut_mult,st_energie_mult_C,1)*IF(O10=1,1-0.8,IF(O10=2,1-0.3,1))</f>
        <v/>
      </c>
      <c r="P25" s="17">
        <f>(S2_ech_tourn*mot_tourn_cn)*P22*P8*IF(P$3&gt;=st_energie_debut_mult,st_energie_mult_C,1)*IF(P10=1,1-0.8,IF(P10=2,1-0.3,1))</f>
        <v/>
      </c>
      <c r="Q25" s="17">
        <f>(S2_ech_tourn*mot_tourn_cn)*Q22*Q8*IF(Q$3&gt;=st_energie_debut_mult,st_energie_mult_C,1)*IF(Q10=1,1-0.8,IF(Q10=2,1-0.3,1))</f>
        <v/>
      </c>
      <c r="R25" s="17">
        <f>(S2_ech_tourn*mot_tourn_cn)*R22*R8*IF(R$3&gt;=st_energie_debut_mult,st_energie_mult_C,1)*IF(R10=1,1-0.8,IF(R10=2,1-0.3,1))</f>
        <v/>
      </c>
      <c r="S25" s="17">
        <f>(S2_ech_tourn*mot_tourn_cn)*S22*S8*IF(S$3&gt;=st_energie_debut_mult,st_energie_mult_C,1)*IF(S10=1,1-0.8,IF(S10=2,1-0.3,1))</f>
        <v/>
      </c>
      <c r="T25" s="17">
        <f>(S2_ech_tourn*mot_tourn_cn)*T22*T8*IF(T$3&gt;=st_energie_debut_mult,st_energie_mult_C,1)*IF(T10=1,1-0.8,IF(T10=2,1-0.3,1))</f>
        <v/>
      </c>
      <c r="U25" s="17">
        <f>(S2_ech_tourn*mot_tourn_cn)*U22*U8*IF(U$3&gt;=st_energie_debut_mult,st_energie_mult_C,1)*IF(U10=1,1-0.8,IF(U10=2,1-0.3,1))</f>
        <v/>
      </c>
      <c r="V25" s="17">
        <f>(S2_ech_tourn*mot_tourn_cn)*V22*V8*IF(V$3&gt;=st_energie_debut_mult,st_energie_mult_C,1)*IF(V10=1,1-0.8,IF(V10=2,1-0.3,1))</f>
        <v/>
      </c>
      <c r="W25" s="17">
        <f>(S2_ech_tourn*mot_tourn_cn)*W22*W8*IF(W$3&gt;=st_energie_debut_mult,st_energie_mult_C,1)*IF(W10=1,1-0.8,IF(W10=2,1-0.3,1))</f>
        <v/>
      </c>
      <c r="X25" s="17">
        <f>(S2_ech_tourn*mot_tourn_cn)*X22*X8*IF(X$3&gt;=st_energie_debut_mult,st_energie_mult_C,1)*IF(X10=1,1-0.8,IF(X10=2,1-0.3,1))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IF(AND(E$3&lt;=S2_sol_div_annees,E$3&lt;=st_energie_div_fin),S2_sol_div*IF(E10=1,0.5,1),0)</f>
        <v/>
      </c>
      <c r="F33" s="17">
        <f>IF(AND(F$3&lt;=S2_sol_div_annees,F$3&lt;=st_energie_div_fin),S2_sol_div*IF(F10=1,0.5,1),0)</f>
        <v/>
      </c>
      <c r="G33" s="17">
        <f>IF(AND(G$3&lt;=S2_sol_div_annees,G$3&lt;=st_energie_div_fin),S2_sol_div*IF(G10=1,0.5,1),0)</f>
        <v/>
      </c>
      <c r="H33" s="17">
        <f>IF(AND(H$3&lt;=S2_sol_div_annees,H$3&lt;=st_energie_div_fin),S2_sol_div*IF(H10=1,0.5,1),0)</f>
        <v/>
      </c>
      <c r="I33" s="17">
        <f>IF(AND(I$3&lt;=S2_sol_div_annees,I$3&lt;=st_energie_div_fin),S2_sol_div*IF(I10=1,0.5,1),0)</f>
        <v/>
      </c>
      <c r="J33" s="17">
        <f>IF(AND(J$3&lt;=S2_sol_div_annees,J$3&lt;=st_energie_div_fin),S2_sol_div*IF(J10=1,0.5,1),0)</f>
        <v/>
      </c>
      <c r="K33" s="17">
        <f>IF(AND(K$3&lt;=S2_sol_div_annees,K$3&lt;=st_energie_div_fin),S2_sol_div*IF(K10=1,0.5,1),0)</f>
        <v/>
      </c>
      <c r="L33" s="17">
        <f>IF(AND(L$3&lt;=S2_sol_div_annees,L$3&lt;=st_energie_div_fin),S2_sol_div*IF(L10=1,0.5,1),0)</f>
        <v/>
      </c>
      <c r="M33" s="17">
        <f>IF(AND(M$3&lt;=S2_sol_div_annees,M$3&lt;=st_energie_div_fin),S2_sol_div*IF(M10=1,0.5,1),0)</f>
        <v/>
      </c>
      <c r="N33" s="17">
        <f>IF(AND(N$3&lt;=S2_sol_div_annees,N$3&lt;=st_energie_div_fin),S2_sol_div*IF(N10=1,0.5,1),0)</f>
        <v/>
      </c>
      <c r="O33" s="17">
        <f>IF(AND(O$3&lt;=S2_sol_div_annees,O$3&lt;=st_energie_div_fin),S2_sol_div*IF(O10=1,0.5,1),0)</f>
        <v/>
      </c>
      <c r="P33" s="17">
        <f>IF(AND(P$3&lt;=S2_sol_div_annees,P$3&lt;=st_energie_div_fin),S2_sol_div*IF(P10=1,0.5,1),0)</f>
        <v/>
      </c>
      <c r="Q33" s="17">
        <f>IF(AND(Q$3&lt;=S2_sol_div_annees,Q$3&lt;=st_energie_div_fin),S2_sol_div*IF(Q10=1,0.5,1),0)</f>
        <v/>
      </c>
      <c r="R33" s="17">
        <f>IF(AND(R$3&lt;=S2_sol_div_annees,R$3&lt;=st_energie_div_fin),S2_sol_div*IF(R10=1,0.5,1),0)</f>
        <v/>
      </c>
      <c r="S33" s="17">
        <f>IF(AND(S$3&lt;=S2_sol_div_annees,S$3&lt;=st_energie_div_fin),S2_sol_div*IF(S10=1,0.5,1),0)</f>
        <v/>
      </c>
      <c r="T33" s="17">
        <f>IF(AND(T$3&lt;=S2_sol_div_annees,T$3&lt;=st_energie_div_fin),S2_sol_div*IF(T10=1,0.5,1),0)</f>
        <v/>
      </c>
      <c r="U33" s="17">
        <f>IF(AND(U$3&lt;=S2_sol_div_annees,U$3&lt;=st_energie_div_fin),S2_sol_div*IF(U10=1,0.5,1),0)</f>
        <v/>
      </c>
      <c r="V33" s="17">
        <f>IF(AND(V$3&lt;=S2_sol_div_annees,V$3&lt;=st_energie_div_fin),S2_sol_div*IF(V10=1,0.5,1),0)</f>
        <v/>
      </c>
      <c r="W33" s="17">
        <f>IF(AND(W$3&lt;=S2_sol_div_annees,W$3&lt;=st_energie_div_fin),S2_sol_div*IF(W10=1,0.5,1),0)</f>
        <v/>
      </c>
      <c r="X33" s="17">
        <f>IF(AND(X$3&lt;=S2_sol_div_annees,X$3&lt;=st_energie_div_fin),S2_sol_div*IF(X10=1,0.5,1),0)</f>
        <v/>
      </c>
    </row>
    <row r="34">
      <c r="A34" s="2" t="inlineStr">
        <is>
          <t>rdt_dot</t>
        </is>
      </c>
      <c r="B34" s="2" t="inlineStr">
        <is>
          <t>Rendement réel de la dotation de l'année</t>
        </is>
      </c>
      <c r="C34" s="2" t="inlineStr">
        <is>
          <t>%</t>
        </is>
      </c>
      <c r="E34" s="20">
        <f>dot_rendement+st_energie_dot_rdt_delta+IF(E10=1,-0.25,0)</f>
        <v/>
      </c>
      <c r="F34" s="20">
        <f>dot_rendement+st_energie_dot_rdt_delta+IF(F10=1,-0.25,0)</f>
        <v/>
      </c>
      <c r="G34" s="20">
        <f>dot_rendement+st_energie_dot_rdt_delta+IF(G10=1,-0.25,0)</f>
        <v/>
      </c>
      <c r="H34" s="20">
        <f>dot_rendement+st_energie_dot_rdt_delta+IF(H10=1,-0.25,0)</f>
        <v/>
      </c>
      <c r="I34" s="20">
        <f>dot_rendement+st_energie_dot_rdt_delta+IF(I10=1,-0.25,0)</f>
        <v/>
      </c>
      <c r="J34" s="20">
        <f>dot_rendement+st_energie_dot_rdt_delta+IF(J10=1,-0.25,0)</f>
        <v/>
      </c>
      <c r="K34" s="20">
        <f>dot_rendement+st_energie_dot_rdt_delta+IF(K10=1,-0.25,0)</f>
        <v/>
      </c>
      <c r="L34" s="20">
        <f>dot_rendement+st_energie_dot_rdt_delta+IF(L10=1,-0.25,0)</f>
        <v/>
      </c>
      <c r="M34" s="20">
        <f>dot_rendement+st_energie_dot_rdt_delta+IF(M10=1,-0.25,0)</f>
        <v/>
      </c>
      <c r="N34" s="20">
        <f>dot_rendement+st_energie_dot_rdt_delta+IF(N10=1,-0.25,0)</f>
        <v/>
      </c>
      <c r="O34" s="20">
        <f>dot_rendement+st_energie_dot_rdt_delta+IF(O10=1,-0.25,0)</f>
        <v/>
      </c>
      <c r="P34" s="20">
        <f>dot_rendement+st_energie_dot_rdt_delta+IF(P10=1,-0.25,0)</f>
        <v/>
      </c>
      <c r="Q34" s="20">
        <f>dot_rendement+st_energie_dot_rdt_delta+IF(Q10=1,-0.25,0)</f>
        <v/>
      </c>
      <c r="R34" s="20">
        <f>dot_rendement+st_energie_dot_rdt_delta+IF(R10=1,-0.25,0)</f>
        <v/>
      </c>
      <c r="S34" s="20">
        <f>dot_rendement+st_energie_dot_rdt_delta+IF(S10=1,-0.25,0)</f>
        <v/>
      </c>
      <c r="T34" s="20">
        <f>dot_rendement+st_energie_dot_rdt_delta+IF(T10=1,-0.25,0)</f>
        <v/>
      </c>
      <c r="U34" s="20">
        <f>dot_rendement+st_energie_dot_rdt_delta+IF(U10=1,-0.25,0)</f>
        <v/>
      </c>
      <c r="V34" s="20">
        <f>dot_rendement+st_energie_dot_rdt_delta+IF(V10=1,-0.25,0)</f>
        <v/>
      </c>
      <c r="W34" s="20">
        <f>dot_rendement+st_energie_dot_rdt_delta+IF(W10=1,-0.25,0)</f>
        <v/>
      </c>
      <c r="X34" s="20">
        <f>dot_rendement+st_energie_dot_rdt_delta+IF(X10=1,-0.25,0)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Salaires +1,5 % réel par an au lieu de +0,5 %</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D5*(1+g_salaires+st_salaires_g_sal_extra)</f>
        <v/>
      </c>
      <c r="F5" s="21">
        <f>E5*(1+g_salaires+st_salaires_g_sal_extra)</f>
        <v/>
      </c>
      <c r="G5" s="21">
        <f>F5*(1+g_salaires+st_salaires_g_sal_extra)</f>
        <v/>
      </c>
      <c r="H5" s="21">
        <f>G5*(1+g_salaires+st_salaires_g_sal_extra)</f>
        <v/>
      </c>
      <c r="I5" s="21">
        <f>H5*(1+g_salaires+st_salaires_g_sal_extra)</f>
        <v/>
      </c>
      <c r="J5" s="21">
        <f>I5*(1+g_salaires+st_salaires_g_sal_extra)</f>
        <v/>
      </c>
      <c r="K5" s="21">
        <f>J5*(1+g_salaires+st_salaires_g_sal_extra)</f>
        <v/>
      </c>
      <c r="L5" s="21">
        <f>K5*(1+g_salaires+st_salaires_g_sal_extra)</f>
        <v/>
      </c>
      <c r="M5" s="21">
        <f>L5*(1+g_salaires+st_salaires_g_sal_extra)</f>
        <v/>
      </c>
      <c r="N5" s="21">
        <f>M5*(1+g_salaires+st_salaires_g_sal_extra)</f>
        <v/>
      </c>
      <c r="O5" s="21">
        <f>N5*(1+g_salaires+st_salaires_g_sal_extra)</f>
        <v/>
      </c>
      <c r="P5" s="21">
        <f>O5*(1+g_salaires+st_salaires_g_sal_extra)</f>
        <v/>
      </c>
      <c r="Q5" s="21">
        <f>P5*(1+g_salaires+st_salaires_g_sal_extra)</f>
        <v/>
      </c>
      <c r="R5" s="21">
        <f>Q5*(1+g_salaires+st_salaires_g_sal_extra)</f>
        <v/>
      </c>
      <c r="S5" s="21">
        <f>R5*(1+g_salaires+st_salaires_g_sal_extra)</f>
        <v/>
      </c>
      <c r="T5" s="21">
        <f>S5*(1+g_salaires+st_salaires_g_sal_extra)</f>
        <v/>
      </c>
      <c r="U5" s="21">
        <f>T5*(1+g_salaires+st_salaires_g_sal_extra)</f>
        <v/>
      </c>
      <c r="V5" s="21">
        <f>U5*(1+g_salaires+st_salaires_g_sal_extra)</f>
        <v/>
      </c>
      <c r="W5" s="21">
        <f>V5*(1+g_salaires+st_salaires_g_sal_extra)</f>
        <v/>
      </c>
      <c r="X5" s="21">
        <f>W5*(1+g_salaires+st_salaires_g_sal_extra)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IF(st_salaires_crise_an&gt;0,IF(E$3=st_salaires_crise_an,1,IF(E$3=st_salaires_crise_an+1,2,0)),0)</f>
        <v/>
      </c>
      <c r="F10" s="21">
        <f>IF(st_salaires_crise_an&gt;0,IF(F$3=st_salaires_crise_an,1,IF(F$3=st_salaires_crise_an+1,2,0)),0)</f>
        <v/>
      </c>
      <c r="G10" s="21">
        <f>IF(st_salaires_crise_an&gt;0,IF(G$3=st_salaires_crise_an,1,IF(G$3=st_salaires_crise_an+1,2,0)),0)</f>
        <v/>
      </c>
      <c r="H10" s="21">
        <f>IF(st_salaires_crise_an&gt;0,IF(H$3=st_salaires_crise_an,1,IF(H$3=st_salaires_crise_an+1,2,0)),0)</f>
        <v/>
      </c>
      <c r="I10" s="21">
        <f>IF(st_salaires_crise_an&gt;0,IF(I$3=st_salaires_crise_an,1,IF(I$3=st_salaires_crise_an+1,2,0)),0)</f>
        <v/>
      </c>
      <c r="J10" s="21">
        <f>IF(st_salaires_crise_an&gt;0,IF(J$3=st_salaires_crise_an,1,IF(J$3=st_salaires_crise_an+1,2,0)),0)</f>
        <v/>
      </c>
      <c r="K10" s="21">
        <f>IF(st_salaires_crise_an&gt;0,IF(K$3=st_salaires_crise_an,1,IF(K$3=st_salaires_crise_an+1,2,0)),0)</f>
        <v/>
      </c>
      <c r="L10" s="21">
        <f>IF(st_salaires_crise_an&gt;0,IF(L$3=st_salaires_crise_an,1,IF(L$3=st_salaires_crise_an+1,2,0)),0)</f>
        <v/>
      </c>
      <c r="M10" s="21">
        <f>IF(st_salaires_crise_an&gt;0,IF(M$3=st_salaires_crise_an,1,IF(M$3=st_salaires_crise_an+1,2,0)),0)</f>
        <v/>
      </c>
      <c r="N10" s="21">
        <f>IF(st_salaires_crise_an&gt;0,IF(N$3=st_salaires_crise_an,1,IF(N$3=st_salaires_crise_an+1,2,0)),0)</f>
        <v/>
      </c>
      <c r="O10" s="21">
        <f>IF(st_salaires_crise_an&gt;0,IF(O$3=st_salaires_crise_an,1,IF(O$3=st_salaires_crise_an+1,2,0)),0)</f>
        <v/>
      </c>
      <c r="P10" s="21">
        <f>IF(st_salaires_crise_an&gt;0,IF(P$3=st_salaires_crise_an,1,IF(P$3=st_salaires_crise_an+1,2,0)),0)</f>
        <v/>
      </c>
      <c r="Q10" s="21">
        <f>IF(st_salaires_crise_an&gt;0,IF(Q$3=st_salaires_crise_an,1,IF(Q$3=st_salaires_crise_an+1,2,0)),0)</f>
        <v/>
      </c>
      <c r="R10" s="21">
        <f>IF(st_salaires_crise_an&gt;0,IF(R$3=st_salaires_crise_an,1,IF(R$3=st_salaires_crise_an+1,2,0)),0)</f>
        <v/>
      </c>
      <c r="S10" s="21">
        <f>IF(st_salaires_crise_an&gt;0,IF(S$3=st_salaires_crise_an,1,IF(S$3=st_salaires_crise_an+1,2,0)),0)</f>
        <v/>
      </c>
      <c r="T10" s="21">
        <f>IF(st_salaires_crise_an&gt;0,IF(T$3=st_salaires_crise_an,1,IF(T$3=st_salaires_crise_an+1,2,0)),0)</f>
        <v/>
      </c>
      <c r="U10" s="21">
        <f>IF(st_salaires_crise_an&gt;0,IF(U$3=st_salaires_crise_an,1,IF(U$3=st_salaires_crise_an+1,2,0)),0)</f>
        <v/>
      </c>
      <c r="V10" s="21">
        <f>IF(st_salaires_crise_an&gt;0,IF(V$3=st_salaires_crise_an,1,IF(V$3=st_salaires_crise_an+1,2,0)),0)</f>
        <v/>
      </c>
      <c r="W10" s="21">
        <f>IF(st_salaires_crise_an&gt;0,IF(W$3=st_salaires_crise_an,1,IF(W$3=st_salaires_crise_an+1,2,0)),0)</f>
        <v/>
      </c>
      <c r="X10" s="21">
        <f>IF(st_salaires_crise_an&gt;0,IF(X$3=st_salaires_crise_an,1,IF(X$3=st_salaires_crise_an+1,2,0)),0)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(bud_chauffage_S2+bud_hors_gel_S2+bud_electricite_S2)*E7*IF(AND(E$3&gt;=st_salaires_energie_debut,E$3&lt;=st_salaires_energie_fin),st_salaires_energie_mult,1)</f>
        <v/>
      </c>
      <c r="F13" s="17">
        <f>(bud_chauffage_S2+bud_hors_gel_S2+bud_electricite_S2)*F7*IF(AND(F$3&gt;=st_salaires_energie_debut,F$3&lt;=st_salaires_energie_fin),st_salaires_energie_mult,1)</f>
        <v/>
      </c>
      <c r="G13" s="17">
        <f>(bud_chauffage_S2+bud_hors_gel_S2+bud_electricite_S2)*G7*IF(AND(G$3&gt;=st_salaires_energie_debut,G$3&lt;=st_salaires_energie_fin),st_salaires_energie_mult,1)</f>
        <v/>
      </c>
      <c r="H13" s="17">
        <f>(bud_chauffage_S2+bud_hors_gel_S2+bud_electricite_S2)*H7*IF(AND(H$3&gt;=st_salaires_energie_debut,H$3&lt;=st_salaires_energie_fin),st_salaires_energie_mult,1)</f>
        <v/>
      </c>
      <c r="I13" s="17">
        <f>(bud_chauffage_S2+bud_hors_gel_S2+bud_electricite_S2)*I7*IF(AND(I$3&gt;=st_salaires_energie_debut,I$3&lt;=st_salaires_energie_fin),st_salaires_energie_mult,1)</f>
        <v/>
      </c>
      <c r="J13" s="17">
        <f>(bud_chauffage_S2+bud_hors_gel_S2+bud_electricite_S2)*J7*IF(AND(J$3&gt;=st_salaires_energie_debut,J$3&lt;=st_salaires_energie_fin),st_salaires_energie_mult,1)</f>
        <v/>
      </c>
      <c r="K13" s="17">
        <f>(bud_chauffage_S2+bud_hors_gel_S2+bud_electricite_S2)*K7*IF(AND(K$3&gt;=st_salaires_energie_debut,K$3&lt;=st_salaires_energie_fin),st_salaires_energie_mult,1)</f>
        <v/>
      </c>
      <c r="L13" s="17">
        <f>(bud_chauffage_S2+bud_hors_gel_S2+bud_electricite_S2)*L7*IF(AND(L$3&gt;=st_salaires_energie_debut,L$3&lt;=st_salaires_energie_fin),st_salaires_energie_mult,1)</f>
        <v/>
      </c>
      <c r="M13" s="17">
        <f>(bud_chauffage_S2+bud_hors_gel_S2+bud_electricite_S2)*M7*IF(AND(M$3&gt;=st_salaires_energie_debut,M$3&lt;=st_salaires_energie_fin),st_salaires_energie_mult,1)</f>
        <v/>
      </c>
      <c r="N13" s="17">
        <f>(bud_chauffage_S2+bud_hors_gel_S2+bud_electricite_S2)*N7*IF(AND(N$3&gt;=st_salaires_energie_debut,N$3&lt;=st_salaires_energie_fin),st_salaires_energie_mult,1)</f>
        <v/>
      </c>
      <c r="O13" s="17">
        <f>(bud_chauffage_S2+bud_hors_gel_S2+bud_electricite_S2)*O7*IF(AND(O$3&gt;=st_salaires_energie_debut,O$3&lt;=st_salaires_energie_fin),st_salaires_energie_mult,1)</f>
        <v/>
      </c>
      <c r="P13" s="17">
        <f>(bud_chauffage_S2+bud_hors_gel_S2+bud_electricite_S2)*P7*IF(AND(P$3&gt;=st_salaires_energie_debut,P$3&lt;=st_salaires_energie_fin),st_salaires_energie_mult,1)</f>
        <v/>
      </c>
      <c r="Q13" s="17">
        <f>(bud_chauffage_S2+bud_hors_gel_S2+bud_electricite_S2)*Q7*IF(AND(Q$3&gt;=st_salaires_energie_debut,Q$3&lt;=st_salaires_energie_fin),st_salaires_energie_mult,1)</f>
        <v/>
      </c>
      <c r="R13" s="17">
        <f>(bud_chauffage_S2+bud_hors_gel_S2+bud_electricite_S2)*R7*IF(AND(R$3&gt;=st_salaires_energie_debut,R$3&lt;=st_salaires_energie_fin),st_salaires_energie_mult,1)</f>
        <v/>
      </c>
      <c r="S13" s="17">
        <f>(bud_chauffage_S2+bud_hors_gel_S2+bud_electricite_S2)*S7*IF(AND(S$3&gt;=st_salaires_energie_debut,S$3&lt;=st_salaires_energie_fin),st_salaires_energie_mult,1)</f>
        <v/>
      </c>
      <c r="T13" s="17">
        <f>(bud_chauffage_S2+bud_hors_gel_S2+bud_electricite_S2)*T7*IF(AND(T$3&gt;=st_salaires_energie_debut,T$3&lt;=st_salaires_energie_fin),st_salaires_energie_mult,1)</f>
        <v/>
      </c>
      <c r="U13" s="17">
        <f>(bud_chauffage_S2+bud_hors_gel_S2+bud_electricite_S2)*U7*IF(AND(U$3&gt;=st_salaires_energie_debut,U$3&lt;=st_salaires_energie_fin),st_salaires_energie_mult,1)</f>
        <v/>
      </c>
      <c r="V13" s="17">
        <f>(bud_chauffage_S2+bud_hors_gel_S2+bud_electricite_S2)*V7*IF(AND(V$3&gt;=st_salaires_energie_debut,V$3&lt;=st_salaires_energie_fin),st_salaires_energie_mult,1)</f>
        <v/>
      </c>
      <c r="W13" s="17">
        <f>(bud_chauffage_S2+bud_hors_gel_S2+bud_electricite_S2)*W7*IF(AND(W$3&gt;=st_salaires_energie_debut,W$3&lt;=st_salaires_energie_fin),st_salaires_energie_mult,1)</f>
        <v/>
      </c>
      <c r="X13" s="17">
        <f>(bud_chauffage_S2+bud_hors_gel_S2+bud_electricite_S2)*X7*IF(AND(X$3&gt;=st_salaires_energie_debut,X$3&lt;=st_salaires_energie_fin),st_salaires_energie_mult,1)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IF(MOD(E$3,campagne_periode)=0,(D20+E15)*st_salaires_mult_campagne*(1-E11*flex_report),0)</f>
        <v/>
      </c>
      <c r="F17" s="17">
        <f>IF(MOD(F$3,campagne_periode)=0,(E20+F15)*st_salaires_mult_campagne*(1-F11*flex_report),0)</f>
        <v/>
      </c>
      <c r="G17" s="17">
        <f>IF(MOD(G$3,campagne_periode)=0,(F20+G15)*st_salaires_mult_campagne*(1-G11*flex_report),0)</f>
        <v/>
      </c>
      <c r="H17" s="17">
        <f>IF(MOD(H$3,campagne_periode)=0,(G20+H15)*st_salaires_mult_campagne*(1-H11*flex_report),0)</f>
        <v/>
      </c>
      <c r="I17" s="17">
        <f>IF(MOD(I$3,campagne_periode)=0,(H20+I15)*st_salaires_mult_campagne*(1-I11*flex_report),0)</f>
        <v/>
      </c>
      <c r="J17" s="17">
        <f>IF(MOD(J$3,campagne_periode)=0,(I20+J15)*st_salaires_mult_campagne*(1-J11*flex_report),0)</f>
        <v/>
      </c>
      <c r="K17" s="17">
        <f>IF(MOD(K$3,campagne_periode)=0,(J20+K15)*st_salaires_mult_campagne*(1-K11*flex_report),0)</f>
        <v/>
      </c>
      <c r="L17" s="17">
        <f>IF(MOD(L$3,campagne_periode)=0,(K20+L15)*st_salaires_mult_campagne*(1-L11*flex_report),0)</f>
        <v/>
      </c>
      <c r="M17" s="17">
        <f>IF(MOD(M$3,campagne_periode)=0,(L20+M15)*st_salaires_mult_campagne*(1-M11*flex_report),0)</f>
        <v/>
      </c>
      <c r="N17" s="17">
        <f>IF(MOD(N$3,campagne_periode)=0,(M20+N15)*st_salaires_mult_campagne*(1-N11*flex_report),0)</f>
        <v/>
      </c>
      <c r="O17" s="17">
        <f>IF(MOD(O$3,campagne_periode)=0,(N20+O15)*st_salaires_mult_campagne*(1-O11*flex_report),0)</f>
        <v/>
      </c>
      <c r="P17" s="17">
        <f>IF(MOD(P$3,campagne_periode)=0,(O20+P15)*st_salaires_mult_campagne*(1-P11*flex_report),0)</f>
        <v/>
      </c>
      <c r="Q17" s="17">
        <f>IF(MOD(Q$3,campagne_periode)=0,(P20+Q15)*st_salaires_mult_campagne*(1-Q11*flex_report),0)</f>
        <v/>
      </c>
      <c r="R17" s="17">
        <f>IF(MOD(R$3,campagne_periode)=0,(Q20+R15)*st_salaires_mult_campagne*(1-R11*flex_report),0)</f>
        <v/>
      </c>
      <c r="S17" s="17">
        <f>IF(MOD(S$3,campagne_periode)=0,(R20+S15)*st_salaires_mult_campagne*(1-S11*flex_report),0)</f>
        <v/>
      </c>
      <c r="T17" s="17">
        <f>IF(MOD(T$3,campagne_periode)=0,(S20+T15)*st_salaires_mult_campagne*(1-T11*flex_report),0)</f>
        <v/>
      </c>
      <c r="U17" s="17">
        <f>IF(MOD(U$3,campagne_periode)=0,(T20+U15)*st_salaires_mult_campagne*(1-U11*flex_report),0)</f>
        <v/>
      </c>
      <c r="V17" s="17">
        <f>IF(MOD(V$3,campagne_periode)=0,(U20+V15)*st_salaires_mult_campagne*(1-V11*flex_report),0)</f>
        <v/>
      </c>
      <c r="W17" s="17">
        <f>IF(MOD(W$3,campagne_periode)=0,(V20+W15)*st_salaires_mult_campagne*(1-W11*flex_report),0)</f>
        <v/>
      </c>
      <c r="X17" s="17">
        <f>IF(MOD(X$3,campagne_periode)=0,(W20+X15)*st_salaires_mult_campagne*(1-X11*flex_report),0)</f>
        <v/>
      </c>
    </row>
    <row r="18">
      <c r="A18" s="2" t="inlineStr">
        <is>
          <t>choc_trav</t>
        </is>
      </c>
      <c r="B18" s="2" t="inlineStr">
        <is>
          <t>Sinistre ou découverte non assurés</t>
        </is>
      </c>
      <c r="C18" s="2" t="inlineStr">
        <is>
          <t>€ 2026</t>
        </is>
      </c>
      <c r="E18" s="17">
        <f>IF(E$3=st_salaires_choc_trav_an,st_salaires_choc_trav_montant,0)</f>
        <v/>
      </c>
      <c r="F18" s="17">
        <f>IF(F$3=st_salaires_choc_trav_an,st_salaires_choc_trav_montant,0)</f>
        <v/>
      </c>
      <c r="G18" s="17">
        <f>IF(G$3=st_salaires_choc_trav_an,st_salaires_choc_trav_montant,0)</f>
        <v/>
      </c>
      <c r="H18" s="17">
        <f>IF(H$3=st_salaires_choc_trav_an,st_salaires_choc_trav_montant,0)</f>
        <v/>
      </c>
      <c r="I18" s="17">
        <f>IF(I$3=st_salaires_choc_trav_an,st_salaires_choc_trav_montant,0)</f>
        <v/>
      </c>
      <c r="J18" s="17">
        <f>IF(J$3=st_salaires_choc_trav_an,st_salaires_choc_trav_montant,0)</f>
        <v/>
      </c>
      <c r="K18" s="17">
        <f>IF(K$3=st_salaires_choc_trav_an,st_salaires_choc_trav_montant,0)</f>
        <v/>
      </c>
      <c r="L18" s="17">
        <f>IF(L$3=st_salaires_choc_trav_an,st_salaires_choc_trav_montant,0)</f>
        <v/>
      </c>
      <c r="M18" s="17">
        <f>IF(M$3=st_salaires_choc_trav_an,st_salaires_choc_trav_montant,0)</f>
        <v/>
      </c>
      <c r="N18" s="17">
        <f>IF(N$3=st_salaires_choc_trav_an,st_salaires_choc_trav_montant,0)</f>
        <v/>
      </c>
      <c r="O18" s="17">
        <f>IF(O$3=st_salaires_choc_trav_an,st_salaires_choc_trav_montant,0)</f>
        <v/>
      </c>
      <c r="P18" s="17">
        <f>IF(P$3=st_salaires_choc_trav_an,st_salaires_choc_trav_montant,0)</f>
        <v/>
      </c>
      <c r="Q18" s="17">
        <f>IF(Q$3=st_salaires_choc_trav_an,st_salaires_choc_trav_montant,0)</f>
        <v/>
      </c>
      <c r="R18" s="17">
        <f>IF(R$3=st_salaires_choc_trav_an,st_salaires_choc_trav_montant,0)</f>
        <v/>
      </c>
      <c r="S18" s="17">
        <f>IF(S$3=st_salaires_choc_trav_an,st_salaires_choc_trav_montant,0)</f>
        <v/>
      </c>
      <c r="T18" s="17">
        <f>IF(T$3=st_salaires_choc_trav_an,st_salaires_choc_trav_montant,0)</f>
        <v/>
      </c>
      <c r="U18" s="17">
        <f>IF(U$3=st_salaires_choc_trav_an,st_salaires_choc_trav_montant,0)</f>
        <v/>
      </c>
      <c r="V18" s="17">
        <f>IF(V$3=st_salaires_choc_trav_an,st_salaires_choc_trav_montant,0)</f>
        <v/>
      </c>
      <c r="W18" s="17">
        <f>IF(W$3=st_salaires_choc_trav_an,st_salaires_choc_trav_montant,0)</f>
        <v/>
      </c>
      <c r="X18" s="17">
        <f>IF(X$3=st_salaires_choc_trav_an,st_salaires_choc_trav_montant,0)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(S2_ech_log*mot_log_cn+S2_ech_stock*mot_stock_cn+S2_ech_pv*mot_pv_cn+S2_ech_bois*mot_bois_cn)*E22*E8*IF(E$3&gt;=st_salaires_debut_mult,st_salaires_mult_A,1)*IF(E10=1,1-0.05,IF(E10=2,1-0.02,1))</f>
        <v/>
      </c>
      <c r="F23" s="17">
        <f>(S2_ech_log*mot_log_cn+S2_ech_stock*mot_stock_cn+S2_ech_pv*mot_pv_cn+S2_ech_bois*mot_bois_cn)*F22*F8*IF(F$3&gt;=st_salaires_debut_mult,st_salaires_mult_A,1)*IF(F10=1,1-0.05,IF(F10=2,1-0.02,1))</f>
        <v/>
      </c>
      <c r="G23" s="17">
        <f>(S2_ech_log*mot_log_cn+S2_ech_stock*mot_stock_cn+S2_ech_pv*mot_pv_cn+S2_ech_bois*mot_bois_cn)*G22*G8*IF(G$3&gt;=st_salaires_debut_mult,st_salaires_mult_A,1)*IF(G10=1,1-0.05,IF(G10=2,1-0.02,1))</f>
        <v/>
      </c>
      <c r="H23" s="17">
        <f>(S2_ech_log*mot_log_cn+S2_ech_stock*mot_stock_cn+S2_ech_pv*mot_pv_cn+S2_ech_bois*mot_bois_cn)*H22*H8*IF(H$3&gt;=st_salaires_debut_mult,st_salaires_mult_A,1)*IF(H10=1,1-0.05,IF(H10=2,1-0.02,1))</f>
        <v/>
      </c>
      <c r="I23" s="17">
        <f>(S2_ech_log*mot_log_cn+S2_ech_stock*mot_stock_cn+S2_ech_pv*mot_pv_cn+S2_ech_bois*mot_bois_cn)*I22*I8*IF(I$3&gt;=st_salaires_debut_mult,st_salaires_mult_A,1)*IF(I10=1,1-0.05,IF(I10=2,1-0.02,1))</f>
        <v/>
      </c>
      <c r="J23" s="17">
        <f>(S2_ech_log*mot_log_cn+S2_ech_stock*mot_stock_cn+S2_ech_pv*mot_pv_cn+S2_ech_bois*mot_bois_cn)*J22*J8*IF(J$3&gt;=st_salaires_debut_mult,st_salaires_mult_A,1)*IF(J10=1,1-0.05,IF(J10=2,1-0.02,1))</f>
        <v/>
      </c>
      <c r="K23" s="17">
        <f>(S2_ech_log*mot_log_cn+S2_ech_stock*mot_stock_cn+S2_ech_pv*mot_pv_cn+S2_ech_bois*mot_bois_cn)*K22*K8*IF(K$3&gt;=st_salaires_debut_mult,st_salaires_mult_A,1)*IF(K10=1,1-0.05,IF(K10=2,1-0.02,1))</f>
        <v/>
      </c>
      <c r="L23" s="17">
        <f>(S2_ech_log*mot_log_cn+S2_ech_stock*mot_stock_cn+S2_ech_pv*mot_pv_cn+S2_ech_bois*mot_bois_cn)*L22*L8*IF(L$3&gt;=st_salaires_debut_mult,st_salaires_mult_A,1)*IF(L10=1,1-0.05,IF(L10=2,1-0.02,1))</f>
        <v/>
      </c>
      <c r="M23" s="17">
        <f>(S2_ech_log*mot_log_cn+S2_ech_stock*mot_stock_cn+S2_ech_pv*mot_pv_cn+S2_ech_bois*mot_bois_cn)*M22*M8*IF(M$3&gt;=st_salaires_debut_mult,st_salaires_mult_A,1)*IF(M10=1,1-0.05,IF(M10=2,1-0.02,1))</f>
        <v/>
      </c>
      <c r="N23" s="17">
        <f>(S2_ech_log*mot_log_cn+S2_ech_stock*mot_stock_cn+S2_ech_pv*mot_pv_cn+S2_ech_bois*mot_bois_cn)*N22*N8*IF(N$3&gt;=st_salaires_debut_mult,st_salaires_mult_A,1)*IF(N10=1,1-0.05,IF(N10=2,1-0.02,1))</f>
        <v/>
      </c>
      <c r="O23" s="17">
        <f>(S2_ech_log*mot_log_cn+S2_ech_stock*mot_stock_cn+S2_ech_pv*mot_pv_cn+S2_ech_bois*mot_bois_cn)*O22*O8*IF(O$3&gt;=st_salaires_debut_mult,st_salaires_mult_A,1)*IF(O10=1,1-0.05,IF(O10=2,1-0.02,1))</f>
        <v/>
      </c>
      <c r="P23" s="17">
        <f>(S2_ech_log*mot_log_cn+S2_ech_stock*mot_stock_cn+S2_ech_pv*mot_pv_cn+S2_ech_bois*mot_bois_cn)*P22*P8*IF(P$3&gt;=st_salaires_debut_mult,st_salaires_mult_A,1)*IF(P10=1,1-0.05,IF(P10=2,1-0.02,1))</f>
        <v/>
      </c>
      <c r="Q23" s="17">
        <f>(S2_ech_log*mot_log_cn+S2_ech_stock*mot_stock_cn+S2_ech_pv*mot_pv_cn+S2_ech_bois*mot_bois_cn)*Q22*Q8*IF(Q$3&gt;=st_salaires_debut_mult,st_salaires_mult_A,1)*IF(Q10=1,1-0.05,IF(Q10=2,1-0.02,1))</f>
        <v/>
      </c>
      <c r="R23" s="17">
        <f>(S2_ech_log*mot_log_cn+S2_ech_stock*mot_stock_cn+S2_ech_pv*mot_pv_cn+S2_ech_bois*mot_bois_cn)*R22*R8*IF(R$3&gt;=st_salaires_debut_mult,st_salaires_mult_A,1)*IF(R10=1,1-0.05,IF(R10=2,1-0.02,1))</f>
        <v/>
      </c>
      <c r="S23" s="17">
        <f>(S2_ech_log*mot_log_cn+S2_ech_stock*mot_stock_cn+S2_ech_pv*mot_pv_cn+S2_ech_bois*mot_bois_cn)*S22*S8*IF(S$3&gt;=st_salaires_debut_mult,st_salaires_mult_A,1)*IF(S10=1,1-0.05,IF(S10=2,1-0.02,1))</f>
        <v/>
      </c>
      <c r="T23" s="17">
        <f>(S2_ech_log*mot_log_cn+S2_ech_stock*mot_stock_cn+S2_ech_pv*mot_pv_cn+S2_ech_bois*mot_bois_cn)*T22*T8*IF(T$3&gt;=st_salaires_debut_mult,st_salaires_mult_A,1)*IF(T10=1,1-0.05,IF(T10=2,1-0.02,1))</f>
        <v/>
      </c>
      <c r="U23" s="17">
        <f>(S2_ech_log*mot_log_cn+S2_ech_stock*mot_stock_cn+S2_ech_pv*mot_pv_cn+S2_ech_bois*mot_bois_cn)*U22*U8*IF(U$3&gt;=st_salaires_debut_mult,st_salaires_mult_A,1)*IF(U10=1,1-0.05,IF(U10=2,1-0.02,1))</f>
        <v/>
      </c>
      <c r="V23" s="17">
        <f>(S2_ech_log*mot_log_cn+S2_ech_stock*mot_stock_cn+S2_ech_pv*mot_pv_cn+S2_ech_bois*mot_bois_cn)*V22*V8*IF(V$3&gt;=st_salaires_debut_mult,st_salaires_mult_A,1)*IF(V10=1,1-0.05,IF(V10=2,1-0.02,1))</f>
        <v/>
      </c>
      <c r="W23" s="17">
        <f>(S2_ech_log*mot_log_cn+S2_ech_stock*mot_stock_cn+S2_ech_pv*mot_pv_cn+S2_ech_bois*mot_bois_cn)*W22*W8*IF(W$3&gt;=st_salaires_debut_mult,st_salaires_mult_A,1)*IF(W10=1,1-0.05,IF(W10=2,1-0.02,1))</f>
        <v/>
      </c>
      <c r="X23" s="17">
        <f>(S2_ech_log*mot_log_cn+S2_ech_stock*mot_stock_cn+S2_ech_pv*mot_pv_cn+S2_ech_bois*mot_bois_cn)*X22*X8*IF(X$3&gt;=st_salaires_debut_mult,st_salaires_mult_A,1)*IF(X10=1,1-0.05,IF(X10=2,1-0.02,1))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(S2_ech_eq_std*mot_eq_std_cn+S2_ech_eq_ret*mot_eq_ret_cn)*E22*E8*IF(E$3&gt;=st_salaires_debut_mult,st_salaires_mult_B,1)*IF(E10=1,1-0.15,IF(E10=2,1-0.05,1))</f>
        <v/>
      </c>
      <c r="F24" s="17">
        <f>(S2_ech_eq_std*mot_eq_std_cn+S2_ech_eq_ret*mot_eq_ret_cn)*F22*F8*IF(F$3&gt;=st_salaires_debut_mult,st_salaires_mult_B,1)*IF(F10=1,1-0.15,IF(F10=2,1-0.05,1))</f>
        <v/>
      </c>
      <c r="G24" s="17">
        <f>(S2_ech_eq_std*mot_eq_std_cn+S2_ech_eq_ret*mot_eq_ret_cn)*G22*G8*IF(G$3&gt;=st_salaires_debut_mult,st_salaires_mult_B,1)*IF(G10=1,1-0.15,IF(G10=2,1-0.05,1))</f>
        <v/>
      </c>
      <c r="H24" s="17">
        <f>(S2_ech_eq_std*mot_eq_std_cn+S2_ech_eq_ret*mot_eq_ret_cn)*H22*H8*IF(H$3&gt;=st_salaires_debut_mult,st_salaires_mult_B,1)*IF(H10=1,1-0.15,IF(H10=2,1-0.05,1))</f>
        <v/>
      </c>
      <c r="I24" s="17">
        <f>(S2_ech_eq_std*mot_eq_std_cn+S2_ech_eq_ret*mot_eq_ret_cn)*I22*I8*IF(I$3&gt;=st_salaires_debut_mult,st_salaires_mult_B,1)*IF(I10=1,1-0.15,IF(I10=2,1-0.05,1))</f>
        <v/>
      </c>
      <c r="J24" s="17">
        <f>(S2_ech_eq_std*mot_eq_std_cn+S2_ech_eq_ret*mot_eq_ret_cn)*J22*J8*IF(J$3&gt;=st_salaires_debut_mult,st_salaires_mult_B,1)*IF(J10=1,1-0.15,IF(J10=2,1-0.05,1))</f>
        <v/>
      </c>
      <c r="K24" s="17">
        <f>(S2_ech_eq_std*mot_eq_std_cn+S2_ech_eq_ret*mot_eq_ret_cn)*K22*K8*IF(K$3&gt;=st_salaires_debut_mult,st_salaires_mult_B,1)*IF(K10=1,1-0.15,IF(K10=2,1-0.05,1))</f>
        <v/>
      </c>
      <c r="L24" s="17">
        <f>(S2_ech_eq_std*mot_eq_std_cn+S2_ech_eq_ret*mot_eq_ret_cn)*L22*L8*IF(L$3&gt;=st_salaires_debut_mult,st_salaires_mult_B,1)*IF(L10=1,1-0.15,IF(L10=2,1-0.05,1))</f>
        <v/>
      </c>
      <c r="M24" s="17">
        <f>(S2_ech_eq_std*mot_eq_std_cn+S2_ech_eq_ret*mot_eq_ret_cn)*M22*M8*IF(M$3&gt;=st_salaires_debut_mult,st_salaires_mult_B,1)*IF(M10=1,1-0.15,IF(M10=2,1-0.05,1))</f>
        <v/>
      </c>
      <c r="N24" s="17">
        <f>(S2_ech_eq_std*mot_eq_std_cn+S2_ech_eq_ret*mot_eq_ret_cn)*N22*N8*IF(N$3&gt;=st_salaires_debut_mult,st_salaires_mult_B,1)*IF(N10=1,1-0.15,IF(N10=2,1-0.05,1))</f>
        <v/>
      </c>
      <c r="O24" s="17">
        <f>(S2_ech_eq_std*mot_eq_std_cn+S2_ech_eq_ret*mot_eq_ret_cn)*O22*O8*IF(O$3&gt;=st_salaires_debut_mult,st_salaires_mult_B,1)*IF(O10=1,1-0.15,IF(O10=2,1-0.05,1))</f>
        <v/>
      </c>
      <c r="P24" s="17">
        <f>(S2_ech_eq_std*mot_eq_std_cn+S2_ech_eq_ret*mot_eq_ret_cn)*P22*P8*IF(P$3&gt;=st_salaires_debut_mult,st_salaires_mult_B,1)*IF(P10=1,1-0.15,IF(P10=2,1-0.05,1))</f>
        <v/>
      </c>
      <c r="Q24" s="17">
        <f>(S2_ech_eq_std*mot_eq_std_cn+S2_ech_eq_ret*mot_eq_ret_cn)*Q22*Q8*IF(Q$3&gt;=st_salaires_debut_mult,st_salaires_mult_B,1)*IF(Q10=1,1-0.15,IF(Q10=2,1-0.05,1))</f>
        <v/>
      </c>
      <c r="R24" s="17">
        <f>(S2_ech_eq_std*mot_eq_std_cn+S2_ech_eq_ret*mot_eq_ret_cn)*R22*R8*IF(R$3&gt;=st_salaires_debut_mult,st_salaires_mult_B,1)*IF(R10=1,1-0.15,IF(R10=2,1-0.05,1))</f>
        <v/>
      </c>
      <c r="S24" s="17">
        <f>(S2_ech_eq_std*mot_eq_std_cn+S2_ech_eq_ret*mot_eq_ret_cn)*S22*S8*IF(S$3&gt;=st_salaires_debut_mult,st_salaires_mult_B,1)*IF(S10=1,1-0.15,IF(S10=2,1-0.05,1))</f>
        <v/>
      </c>
      <c r="T24" s="17">
        <f>(S2_ech_eq_std*mot_eq_std_cn+S2_ech_eq_ret*mot_eq_ret_cn)*T22*T8*IF(T$3&gt;=st_salaires_debut_mult,st_salaires_mult_B,1)*IF(T10=1,1-0.15,IF(T10=2,1-0.05,1))</f>
        <v/>
      </c>
      <c r="U24" s="17">
        <f>(S2_ech_eq_std*mot_eq_std_cn+S2_ech_eq_ret*mot_eq_ret_cn)*U22*U8*IF(U$3&gt;=st_salaires_debut_mult,st_salaires_mult_B,1)*IF(U10=1,1-0.15,IF(U10=2,1-0.05,1))</f>
        <v/>
      </c>
      <c r="V24" s="17">
        <f>(S2_ech_eq_std*mot_eq_std_cn+S2_ech_eq_ret*mot_eq_ret_cn)*V22*V8*IF(V$3&gt;=st_salaires_debut_mult,st_salaires_mult_B,1)*IF(V10=1,1-0.15,IF(V10=2,1-0.05,1))</f>
        <v/>
      </c>
      <c r="W24" s="17">
        <f>(S2_ech_eq_std*mot_eq_std_cn+S2_ech_eq_ret*mot_eq_ret_cn)*W22*W8*IF(W$3&gt;=st_salaires_debut_mult,st_salaires_mult_B,1)*IF(W10=1,1-0.15,IF(W10=2,1-0.05,1))</f>
        <v/>
      </c>
      <c r="X24" s="17">
        <f>(S2_ech_eq_std*mot_eq_std_cn+S2_ech_eq_ret*mot_eq_ret_cn)*X22*X8*IF(X$3&gt;=st_salaires_debut_mult,st_salaires_mult_B,1)*IF(X10=1,1-0.15,IF(X10=2,1-0.05,1))</f>
        <v/>
      </c>
    </row>
    <row r="25">
      <c r="A25" s="2" t="inlineStr">
        <is>
          <t>act_C</t>
        </is>
      </c>
      <c r="B25" s="2" t="inlineStr">
        <is>
          <t>Contribution des activités occasionnelles (classe C)</t>
        </is>
      </c>
      <c r="C25" s="2" t="inlineStr">
        <is>
          <t>€ 2026</t>
        </is>
      </c>
      <c r="E25" s="17">
        <f>(S2_ech_tourn*mot_tourn_cn)*E22*E8*IF(E$3&gt;=st_salaires_debut_mult,st_salaires_mult_C,1)*IF(E10=1,1-0.8,IF(E10=2,1-0.3,1))</f>
        <v/>
      </c>
      <c r="F25" s="17">
        <f>(S2_ech_tourn*mot_tourn_cn)*F22*F8*IF(F$3&gt;=st_salaires_debut_mult,st_salaires_mult_C,1)*IF(F10=1,1-0.8,IF(F10=2,1-0.3,1))</f>
        <v/>
      </c>
      <c r="G25" s="17">
        <f>(S2_ech_tourn*mot_tourn_cn)*G22*G8*IF(G$3&gt;=st_salaires_debut_mult,st_salaires_mult_C,1)*IF(G10=1,1-0.8,IF(G10=2,1-0.3,1))</f>
        <v/>
      </c>
      <c r="H25" s="17">
        <f>(S2_ech_tourn*mot_tourn_cn)*H22*H8*IF(H$3&gt;=st_salaires_debut_mult,st_salaires_mult_C,1)*IF(H10=1,1-0.8,IF(H10=2,1-0.3,1))</f>
        <v/>
      </c>
      <c r="I25" s="17">
        <f>(S2_ech_tourn*mot_tourn_cn)*I22*I8*IF(I$3&gt;=st_salaires_debut_mult,st_salaires_mult_C,1)*IF(I10=1,1-0.8,IF(I10=2,1-0.3,1))</f>
        <v/>
      </c>
      <c r="J25" s="17">
        <f>(S2_ech_tourn*mot_tourn_cn)*J22*J8*IF(J$3&gt;=st_salaires_debut_mult,st_salaires_mult_C,1)*IF(J10=1,1-0.8,IF(J10=2,1-0.3,1))</f>
        <v/>
      </c>
      <c r="K25" s="17">
        <f>(S2_ech_tourn*mot_tourn_cn)*K22*K8*IF(K$3&gt;=st_salaires_debut_mult,st_salaires_mult_C,1)*IF(K10=1,1-0.8,IF(K10=2,1-0.3,1))</f>
        <v/>
      </c>
      <c r="L25" s="17">
        <f>(S2_ech_tourn*mot_tourn_cn)*L22*L8*IF(L$3&gt;=st_salaires_debut_mult,st_salaires_mult_C,1)*IF(L10=1,1-0.8,IF(L10=2,1-0.3,1))</f>
        <v/>
      </c>
      <c r="M25" s="17">
        <f>(S2_ech_tourn*mot_tourn_cn)*M22*M8*IF(M$3&gt;=st_salaires_debut_mult,st_salaires_mult_C,1)*IF(M10=1,1-0.8,IF(M10=2,1-0.3,1))</f>
        <v/>
      </c>
      <c r="N25" s="17">
        <f>(S2_ech_tourn*mot_tourn_cn)*N22*N8*IF(N$3&gt;=st_salaires_debut_mult,st_salaires_mult_C,1)*IF(N10=1,1-0.8,IF(N10=2,1-0.3,1))</f>
        <v/>
      </c>
      <c r="O25" s="17">
        <f>(S2_ech_tourn*mot_tourn_cn)*O22*O8*IF(O$3&gt;=st_salaires_debut_mult,st_salaires_mult_C,1)*IF(O10=1,1-0.8,IF(O10=2,1-0.3,1))</f>
        <v/>
      </c>
      <c r="P25" s="17">
        <f>(S2_ech_tourn*mot_tourn_cn)*P22*P8*IF(P$3&gt;=st_salaires_debut_mult,st_salaires_mult_C,1)*IF(P10=1,1-0.8,IF(P10=2,1-0.3,1))</f>
        <v/>
      </c>
      <c r="Q25" s="17">
        <f>(S2_ech_tourn*mot_tourn_cn)*Q22*Q8*IF(Q$3&gt;=st_salaires_debut_mult,st_salaires_mult_C,1)*IF(Q10=1,1-0.8,IF(Q10=2,1-0.3,1))</f>
        <v/>
      </c>
      <c r="R25" s="17">
        <f>(S2_ech_tourn*mot_tourn_cn)*R22*R8*IF(R$3&gt;=st_salaires_debut_mult,st_salaires_mult_C,1)*IF(R10=1,1-0.8,IF(R10=2,1-0.3,1))</f>
        <v/>
      </c>
      <c r="S25" s="17">
        <f>(S2_ech_tourn*mot_tourn_cn)*S22*S8*IF(S$3&gt;=st_salaires_debut_mult,st_salaires_mult_C,1)*IF(S10=1,1-0.8,IF(S10=2,1-0.3,1))</f>
        <v/>
      </c>
      <c r="T25" s="17">
        <f>(S2_ech_tourn*mot_tourn_cn)*T22*T8*IF(T$3&gt;=st_salaires_debut_mult,st_salaires_mult_C,1)*IF(T10=1,1-0.8,IF(T10=2,1-0.3,1))</f>
        <v/>
      </c>
      <c r="U25" s="17">
        <f>(S2_ech_tourn*mot_tourn_cn)*U22*U8*IF(U$3&gt;=st_salaires_debut_mult,st_salaires_mult_C,1)*IF(U10=1,1-0.8,IF(U10=2,1-0.3,1))</f>
        <v/>
      </c>
      <c r="V25" s="17">
        <f>(S2_ech_tourn*mot_tourn_cn)*V22*V8*IF(V$3&gt;=st_salaires_debut_mult,st_salaires_mult_C,1)*IF(V10=1,1-0.8,IF(V10=2,1-0.3,1))</f>
        <v/>
      </c>
      <c r="W25" s="17">
        <f>(S2_ech_tourn*mot_tourn_cn)*W22*W8*IF(W$3&gt;=st_salaires_debut_mult,st_salaires_mult_C,1)*IF(W10=1,1-0.8,IF(W10=2,1-0.3,1))</f>
        <v/>
      </c>
      <c r="X25" s="17">
        <f>(S2_ech_tourn*mot_tourn_cn)*X22*X8*IF(X$3&gt;=st_salaires_debut_mult,st_salaires_mult_C,1)*IF(X10=1,1-0.8,IF(X10=2,1-0.3,1))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IF(AND(E$3&lt;=S2_sol_div_annees,E$3&lt;=st_salaires_div_fin),S2_sol_div*IF(E10=1,0.5,1),0)</f>
        <v/>
      </c>
      <c r="F33" s="17">
        <f>IF(AND(F$3&lt;=S2_sol_div_annees,F$3&lt;=st_salaires_div_fin),S2_sol_div*IF(F10=1,0.5,1),0)</f>
        <v/>
      </c>
      <c r="G33" s="17">
        <f>IF(AND(G$3&lt;=S2_sol_div_annees,G$3&lt;=st_salaires_div_fin),S2_sol_div*IF(G10=1,0.5,1),0)</f>
        <v/>
      </c>
      <c r="H33" s="17">
        <f>IF(AND(H$3&lt;=S2_sol_div_annees,H$3&lt;=st_salaires_div_fin),S2_sol_div*IF(H10=1,0.5,1),0)</f>
        <v/>
      </c>
      <c r="I33" s="17">
        <f>IF(AND(I$3&lt;=S2_sol_div_annees,I$3&lt;=st_salaires_div_fin),S2_sol_div*IF(I10=1,0.5,1),0)</f>
        <v/>
      </c>
      <c r="J33" s="17">
        <f>IF(AND(J$3&lt;=S2_sol_div_annees,J$3&lt;=st_salaires_div_fin),S2_sol_div*IF(J10=1,0.5,1),0)</f>
        <v/>
      </c>
      <c r="K33" s="17">
        <f>IF(AND(K$3&lt;=S2_sol_div_annees,K$3&lt;=st_salaires_div_fin),S2_sol_div*IF(K10=1,0.5,1),0)</f>
        <v/>
      </c>
      <c r="L33" s="17">
        <f>IF(AND(L$3&lt;=S2_sol_div_annees,L$3&lt;=st_salaires_div_fin),S2_sol_div*IF(L10=1,0.5,1),0)</f>
        <v/>
      </c>
      <c r="M33" s="17">
        <f>IF(AND(M$3&lt;=S2_sol_div_annees,M$3&lt;=st_salaires_div_fin),S2_sol_div*IF(M10=1,0.5,1),0)</f>
        <v/>
      </c>
      <c r="N33" s="17">
        <f>IF(AND(N$3&lt;=S2_sol_div_annees,N$3&lt;=st_salaires_div_fin),S2_sol_div*IF(N10=1,0.5,1),0)</f>
        <v/>
      </c>
      <c r="O33" s="17">
        <f>IF(AND(O$3&lt;=S2_sol_div_annees,O$3&lt;=st_salaires_div_fin),S2_sol_div*IF(O10=1,0.5,1),0)</f>
        <v/>
      </c>
      <c r="P33" s="17">
        <f>IF(AND(P$3&lt;=S2_sol_div_annees,P$3&lt;=st_salaires_div_fin),S2_sol_div*IF(P10=1,0.5,1),0)</f>
        <v/>
      </c>
      <c r="Q33" s="17">
        <f>IF(AND(Q$3&lt;=S2_sol_div_annees,Q$3&lt;=st_salaires_div_fin),S2_sol_div*IF(Q10=1,0.5,1),0)</f>
        <v/>
      </c>
      <c r="R33" s="17">
        <f>IF(AND(R$3&lt;=S2_sol_div_annees,R$3&lt;=st_salaires_div_fin),S2_sol_div*IF(R10=1,0.5,1),0)</f>
        <v/>
      </c>
      <c r="S33" s="17">
        <f>IF(AND(S$3&lt;=S2_sol_div_annees,S$3&lt;=st_salaires_div_fin),S2_sol_div*IF(S10=1,0.5,1),0)</f>
        <v/>
      </c>
      <c r="T33" s="17">
        <f>IF(AND(T$3&lt;=S2_sol_div_annees,T$3&lt;=st_salaires_div_fin),S2_sol_div*IF(T10=1,0.5,1),0)</f>
        <v/>
      </c>
      <c r="U33" s="17">
        <f>IF(AND(U$3&lt;=S2_sol_div_annees,U$3&lt;=st_salaires_div_fin),S2_sol_div*IF(U10=1,0.5,1),0)</f>
        <v/>
      </c>
      <c r="V33" s="17">
        <f>IF(AND(V$3&lt;=S2_sol_div_annees,V$3&lt;=st_salaires_div_fin),S2_sol_div*IF(V10=1,0.5,1),0)</f>
        <v/>
      </c>
      <c r="W33" s="17">
        <f>IF(AND(W$3&lt;=S2_sol_div_annees,W$3&lt;=st_salaires_div_fin),S2_sol_div*IF(W10=1,0.5,1),0)</f>
        <v/>
      </c>
      <c r="X33" s="17">
        <f>IF(AND(X$3&lt;=S2_sol_div_annees,X$3&lt;=st_salaires_div_fin),S2_sol_div*IF(X10=1,0.5,1),0)</f>
        <v/>
      </c>
    </row>
    <row r="34">
      <c r="A34" s="2" t="inlineStr">
        <is>
          <t>rdt_dot</t>
        </is>
      </c>
      <c r="B34" s="2" t="inlineStr">
        <is>
          <t>Rendement réel de la dotation de l'année</t>
        </is>
      </c>
      <c r="C34" s="2" t="inlineStr">
        <is>
          <t>%</t>
        </is>
      </c>
      <c r="E34" s="20">
        <f>dot_rendement+st_salaires_dot_rdt_delta+IF(E10=1,-0.25,0)</f>
        <v/>
      </c>
      <c r="F34" s="20">
        <f>dot_rendement+st_salaires_dot_rdt_delta+IF(F10=1,-0.25,0)</f>
        <v/>
      </c>
      <c r="G34" s="20">
        <f>dot_rendement+st_salaires_dot_rdt_delta+IF(G10=1,-0.25,0)</f>
        <v/>
      </c>
      <c r="H34" s="20">
        <f>dot_rendement+st_salaires_dot_rdt_delta+IF(H10=1,-0.25,0)</f>
        <v/>
      </c>
      <c r="I34" s="20">
        <f>dot_rendement+st_salaires_dot_rdt_delta+IF(I10=1,-0.25,0)</f>
        <v/>
      </c>
      <c r="J34" s="20">
        <f>dot_rendement+st_salaires_dot_rdt_delta+IF(J10=1,-0.25,0)</f>
        <v/>
      </c>
      <c r="K34" s="20">
        <f>dot_rendement+st_salaires_dot_rdt_delta+IF(K10=1,-0.25,0)</f>
        <v/>
      </c>
      <c r="L34" s="20">
        <f>dot_rendement+st_salaires_dot_rdt_delta+IF(L10=1,-0.25,0)</f>
        <v/>
      </c>
      <c r="M34" s="20">
        <f>dot_rendement+st_salaires_dot_rdt_delta+IF(M10=1,-0.25,0)</f>
        <v/>
      </c>
      <c r="N34" s="20">
        <f>dot_rendement+st_salaires_dot_rdt_delta+IF(N10=1,-0.25,0)</f>
        <v/>
      </c>
      <c r="O34" s="20">
        <f>dot_rendement+st_salaires_dot_rdt_delta+IF(O10=1,-0.25,0)</f>
        <v/>
      </c>
      <c r="P34" s="20">
        <f>dot_rendement+st_salaires_dot_rdt_delta+IF(P10=1,-0.25,0)</f>
        <v/>
      </c>
      <c r="Q34" s="20">
        <f>dot_rendement+st_salaires_dot_rdt_delta+IF(Q10=1,-0.25,0)</f>
        <v/>
      </c>
      <c r="R34" s="20">
        <f>dot_rendement+st_salaires_dot_rdt_delta+IF(R10=1,-0.25,0)</f>
        <v/>
      </c>
      <c r="S34" s="20">
        <f>dot_rendement+st_salaires_dot_rdt_delta+IF(S10=1,-0.25,0)</f>
        <v/>
      </c>
      <c r="T34" s="20">
        <f>dot_rendement+st_salaires_dot_rdt_delta+IF(T10=1,-0.25,0)</f>
        <v/>
      </c>
      <c r="U34" s="20">
        <f>dot_rendement+st_salaires_dot_rdt_delta+IF(U10=1,-0.25,0)</f>
        <v/>
      </c>
      <c r="V34" s="20">
        <f>dot_rendement+st_salaires_dot_rdt_delta+IF(V10=1,-0.25,0)</f>
        <v/>
      </c>
      <c r="W34" s="20">
        <f>dot_rendement+st_salaires_dot_rdt_delta+IF(W10=1,-0.25,0)</f>
        <v/>
      </c>
      <c r="X34" s="20">
        <f>dot_rendement+st_salaires_dot_rdt_delta+IF(X10=1,-0.25,0)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Moteur extérieur défaillant : dividendes nuls dès l'année 3 et rendement de la dotation −1 point</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D5*(1+g_salaires+st_moteur_g_sal_extra)</f>
        <v/>
      </c>
      <c r="F5" s="21">
        <f>E5*(1+g_salaires+st_moteur_g_sal_extra)</f>
        <v/>
      </c>
      <c r="G5" s="21">
        <f>F5*(1+g_salaires+st_moteur_g_sal_extra)</f>
        <v/>
      </c>
      <c r="H5" s="21">
        <f>G5*(1+g_salaires+st_moteur_g_sal_extra)</f>
        <v/>
      </c>
      <c r="I5" s="21">
        <f>H5*(1+g_salaires+st_moteur_g_sal_extra)</f>
        <v/>
      </c>
      <c r="J5" s="21">
        <f>I5*(1+g_salaires+st_moteur_g_sal_extra)</f>
        <v/>
      </c>
      <c r="K5" s="21">
        <f>J5*(1+g_salaires+st_moteur_g_sal_extra)</f>
        <v/>
      </c>
      <c r="L5" s="21">
        <f>K5*(1+g_salaires+st_moteur_g_sal_extra)</f>
        <v/>
      </c>
      <c r="M5" s="21">
        <f>L5*(1+g_salaires+st_moteur_g_sal_extra)</f>
        <v/>
      </c>
      <c r="N5" s="21">
        <f>M5*(1+g_salaires+st_moteur_g_sal_extra)</f>
        <v/>
      </c>
      <c r="O5" s="21">
        <f>N5*(1+g_salaires+st_moteur_g_sal_extra)</f>
        <v/>
      </c>
      <c r="P5" s="21">
        <f>O5*(1+g_salaires+st_moteur_g_sal_extra)</f>
        <v/>
      </c>
      <c r="Q5" s="21">
        <f>P5*(1+g_salaires+st_moteur_g_sal_extra)</f>
        <v/>
      </c>
      <c r="R5" s="21">
        <f>Q5*(1+g_salaires+st_moteur_g_sal_extra)</f>
        <v/>
      </c>
      <c r="S5" s="21">
        <f>R5*(1+g_salaires+st_moteur_g_sal_extra)</f>
        <v/>
      </c>
      <c r="T5" s="21">
        <f>S5*(1+g_salaires+st_moteur_g_sal_extra)</f>
        <v/>
      </c>
      <c r="U5" s="21">
        <f>T5*(1+g_salaires+st_moteur_g_sal_extra)</f>
        <v/>
      </c>
      <c r="V5" s="21">
        <f>U5*(1+g_salaires+st_moteur_g_sal_extra)</f>
        <v/>
      </c>
      <c r="W5" s="21">
        <f>V5*(1+g_salaires+st_moteur_g_sal_extra)</f>
        <v/>
      </c>
      <c r="X5" s="21">
        <f>W5*(1+g_salaires+st_moteur_g_sal_extra)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IF(st_moteur_crise_an&gt;0,IF(E$3=st_moteur_crise_an,1,IF(E$3=st_moteur_crise_an+1,2,0)),0)</f>
        <v/>
      </c>
      <c r="F10" s="21">
        <f>IF(st_moteur_crise_an&gt;0,IF(F$3=st_moteur_crise_an,1,IF(F$3=st_moteur_crise_an+1,2,0)),0)</f>
        <v/>
      </c>
      <c r="G10" s="21">
        <f>IF(st_moteur_crise_an&gt;0,IF(G$3=st_moteur_crise_an,1,IF(G$3=st_moteur_crise_an+1,2,0)),0)</f>
        <v/>
      </c>
      <c r="H10" s="21">
        <f>IF(st_moteur_crise_an&gt;0,IF(H$3=st_moteur_crise_an,1,IF(H$3=st_moteur_crise_an+1,2,0)),0)</f>
        <v/>
      </c>
      <c r="I10" s="21">
        <f>IF(st_moteur_crise_an&gt;0,IF(I$3=st_moteur_crise_an,1,IF(I$3=st_moteur_crise_an+1,2,0)),0)</f>
        <v/>
      </c>
      <c r="J10" s="21">
        <f>IF(st_moteur_crise_an&gt;0,IF(J$3=st_moteur_crise_an,1,IF(J$3=st_moteur_crise_an+1,2,0)),0)</f>
        <v/>
      </c>
      <c r="K10" s="21">
        <f>IF(st_moteur_crise_an&gt;0,IF(K$3=st_moteur_crise_an,1,IF(K$3=st_moteur_crise_an+1,2,0)),0)</f>
        <v/>
      </c>
      <c r="L10" s="21">
        <f>IF(st_moteur_crise_an&gt;0,IF(L$3=st_moteur_crise_an,1,IF(L$3=st_moteur_crise_an+1,2,0)),0)</f>
        <v/>
      </c>
      <c r="M10" s="21">
        <f>IF(st_moteur_crise_an&gt;0,IF(M$3=st_moteur_crise_an,1,IF(M$3=st_moteur_crise_an+1,2,0)),0)</f>
        <v/>
      </c>
      <c r="N10" s="21">
        <f>IF(st_moteur_crise_an&gt;0,IF(N$3=st_moteur_crise_an,1,IF(N$3=st_moteur_crise_an+1,2,0)),0)</f>
        <v/>
      </c>
      <c r="O10" s="21">
        <f>IF(st_moteur_crise_an&gt;0,IF(O$3=st_moteur_crise_an,1,IF(O$3=st_moteur_crise_an+1,2,0)),0)</f>
        <v/>
      </c>
      <c r="P10" s="21">
        <f>IF(st_moteur_crise_an&gt;0,IF(P$3=st_moteur_crise_an,1,IF(P$3=st_moteur_crise_an+1,2,0)),0)</f>
        <v/>
      </c>
      <c r="Q10" s="21">
        <f>IF(st_moteur_crise_an&gt;0,IF(Q$3=st_moteur_crise_an,1,IF(Q$3=st_moteur_crise_an+1,2,0)),0)</f>
        <v/>
      </c>
      <c r="R10" s="21">
        <f>IF(st_moteur_crise_an&gt;0,IF(R$3=st_moteur_crise_an,1,IF(R$3=st_moteur_crise_an+1,2,0)),0)</f>
        <v/>
      </c>
      <c r="S10" s="21">
        <f>IF(st_moteur_crise_an&gt;0,IF(S$3=st_moteur_crise_an,1,IF(S$3=st_moteur_crise_an+1,2,0)),0)</f>
        <v/>
      </c>
      <c r="T10" s="21">
        <f>IF(st_moteur_crise_an&gt;0,IF(T$3=st_moteur_crise_an,1,IF(T$3=st_moteur_crise_an+1,2,0)),0)</f>
        <v/>
      </c>
      <c r="U10" s="21">
        <f>IF(st_moteur_crise_an&gt;0,IF(U$3=st_moteur_crise_an,1,IF(U$3=st_moteur_crise_an+1,2,0)),0)</f>
        <v/>
      </c>
      <c r="V10" s="21">
        <f>IF(st_moteur_crise_an&gt;0,IF(V$3=st_moteur_crise_an,1,IF(V$3=st_moteur_crise_an+1,2,0)),0)</f>
        <v/>
      </c>
      <c r="W10" s="21">
        <f>IF(st_moteur_crise_an&gt;0,IF(W$3=st_moteur_crise_an,1,IF(W$3=st_moteur_crise_an+1,2,0)),0)</f>
        <v/>
      </c>
      <c r="X10" s="21">
        <f>IF(st_moteur_crise_an&gt;0,IF(X$3=st_moteur_crise_an,1,IF(X$3=st_moteur_crise_an+1,2,0)),0)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(bud_chauffage_S2+bud_hors_gel_S2+bud_electricite_S2)*E7*IF(AND(E$3&gt;=st_moteur_energie_debut,E$3&lt;=st_moteur_energie_fin),st_moteur_energie_mult,1)</f>
        <v/>
      </c>
      <c r="F13" s="17">
        <f>(bud_chauffage_S2+bud_hors_gel_S2+bud_electricite_S2)*F7*IF(AND(F$3&gt;=st_moteur_energie_debut,F$3&lt;=st_moteur_energie_fin),st_moteur_energie_mult,1)</f>
        <v/>
      </c>
      <c r="G13" s="17">
        <f>(bud_chauffage_S2+bud_hors_gel_S2+bud_electricite_S2)*G7*IF(AND(G$3&gt;=st_moteur_energie_debut,G$3&lt;=st_moteur_energie_fin),st_moteur_energie_mult,1)</f>
        <v/>
      </c>
      <c r="H13" s="17">
        <f>(bud_chauffage_S2+bud_hors_gel_S2+bud_electricite_S2)*H7*IF(AND(H$3&gt;=st_moteur_energie_debut,H$3&lt;=st_moteur_energie_fin),st_moteur_energie_mult,1)</f>
        <v/>
      </c>
      <c r="I13" s="17">
        <f>(bud_chauffage_S2+bud_hors_gel_S2+bud_electricite_S2)*I7*IF(AND(I$3&gt;=st_moteur_energie_debut,I$3&lt;=st_moteur_energie_fin),st_moteur_energie_mult,1)</f>
        <v/>
      </c>
      <c r="J13" s="17">
        <f>(bud_chauffage_S2+bud_hors_gel_S2+bud_electricite_S2)*J7*IF(AND(J$3&gt;=st_moteur_energie_debut,J$3&lt;=st_moteur_energie_fin),st_moteur_energie_mult,1)</f>
        <v/>
      </c>
      <c r="K13" s="17">
        <f>(bud_chauffage_S2+bud_hors_gel_S2+bud_electricite_S2)*K7*IF(AND(K$3&gt;=st_moteur_energie_debut,K$3&lt;=st_moteur_energie_fin),st_moteur_energie_mult,1)</f>
        <v/>
      </c>
      <c r="L13" s="17">
        <f>(bud_chauffage_S2+bud_hors_gel_S2+bud_electricite_S2)*L7*IF(AND(L$3&gt;=st_moteur_energie_debut,L$3&lt;=st_moteur_energie_fin),st_moteur_energie_mult,1)</f>
        <v/>
      </c>
      <c r="M13" s="17">
        <f>(bud_chauffage_S2+bud_hors_gel_S2+bud_electricite_S2)*M7*IF(AND(M$3&gt;=st_moteur_energie_debut,M$3&lt;=st_moteur_energie_fin),st_moteur_energie_mult,1)</f>
        <v/>
      </c>
      <c r="N13" s="17">
        <f>(bud_chauffage_S2+bud_hors_gel_S2+bud_electricite_S2)*N7*IF(AND(N$3&gt;=st_moteur_energie_debut,N$3&lt;=st_moteur_energie_fin),st_moteur_energie_mult,1)</f>
        <v/>
      </c>
      <c r="O13" s="17">
        <f>(bud_chauffage_S2+bud_hors_gel_S2+bud_electricite_S2)*O7*IF(AND(O$3&gt;=st_moteur_energie_debut,O$3&lt;=st_moteur_energie_fin),st_moteur_energie_mult,1)</f>
        <v/>
      </c>
      <c r="P13" s="17">
        <f>(bud_chauffage_S2+bud_hors_gel_S2+bud_electricite_S2)*P7*IF(AND(P$3&gt;=st_moteur_energie_debut,P$3&lt;=st_moteur_energie_fin),st_moteur_energie_mult,1)</f>
        <v/>
      </c>
      <c r="Q13" s="17">
        <f>(bud_chauffage_S2+bud_hors_gel_S2+bud_electricite_S2)*Q7*IF(AND(Q$3&gt;=st_moteur_energie_debut,Q$3&lt;=st_moteur_energie_fin),st_moteur_energie_mult,1)</f>
        <v/>
      </c>
      <c r="R13" s="17">
        <f>(bud_chauffage_S2+bud_hors_gel_S2+bud_electricite_S2)*R7*IF(AND(R$3&gt;=st_moteur_energie_debut,R$3&lt;=st_moteur_energie_fin),st_moteur_energie_mult,1)</f>
        <v/>
      </c>
      <c r="S13" s="17">
        <f>(bud_chauffage_S2+bud_hors_gel_S2+bud_electricite_S2)*S7*IF(AND(S$3&gt;=st_moteur_energie_debut,S$3&lt;=st_moteur_energie_fin),st_moteur_energie_mult,1)</f>
        <v/>
      </c>
      <c r="T13" s="17">
        <f>(bud_chauffage_S2+bud_hors_gel_S2+bud_electricite_S2)*T7*IF(AND(T$3&gt;=st_moteur_energie_debut,T$3&lt;=st_moteur_energie_fin),st_moteur_energie_mult,1)</f>
        <v/>
      </c>
      <c r="U13" s="17">
        <f>(bud_chauffage_S2+bud_hors_gel_S2+bud_electricite_S2)*U7*IF(AND(U$3&gt;=st_moteur_energie_debut,U$3&lt;=st_moteur_energie_fin),st_moteur_energie_mult,1)</f>
        <v/>
      </c>
      <c r="V13" s="17">
        <f>(bud_chauffage_S2+bud_hors_gel_S2+bud_electricite_S2)*V7*IF(AND(V$3&gt;=st_moteur_energie_debut,V$3&lt;=st_moteur_energie_fin),st_moteur_energie_mult,1)</f>
        <v/>
      </c>
      <c r="W13" s="17">
        <f>(bud_chauffage_S2+bud_hors_gel_S2+bud_electricite_S2)*W7*IF(AND(W$3&gt;=st_moteur_energie_debut,W$3&lt;=st_moteur_energie_fin),st_moteur_energie_mult,1)</f>
        <v/>
      </c>
      <c r="X13" s="17">
        <f>(bud_chauffage_S2+bud_hors_gel_S2+bud_electricite_S2)*X7*IF(AND(X$3&gt;=st_moteur_energie_debut,X$3&lt;=st_moteur_energie_fin),st_moteur_energie_mult,1)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IF(MOD(E$3,campagne_periode)=0,(D20+E15)*st_moteur_mult_campagne*(1-E11*flex_report),0)</f>
        <v/>
      </c>
      <c r="F17" s="17">
        <f>IF(MOD(F$3,campagne_periode)=0,(E20+F15)*st_moteur_mult_campagne*(1-F11*flex_report),0)</f>
        <v/>
      </c>
      <c r="G17" s="17">
        <f>IF(MOD(G$3,campagne_periode)=0,(F20+G15)*st_moteur_mult_campagne*(1-G11*flex_report),0)</f>
        <v/>
      </c>
      <c r="H17" s="17">
        <f>IF(MOD(H$3,campagne_periode)=0,(G20+H15)*st_moteur_mult_campagne*(1-H11*flex_report),0)</f>
        <v/>
      </c>
      <c r="I17" s="17">
        <f>IF(MOD(I$3,campagne_periode)=0,(H20+I15)*st_moteur_mult_campagne*(1-I11*flex_report),0)</f>
        <v/>
      </c>
      <c r="J17" s="17">
        <f>IF(MOD(J$3,campagne_periode)=0,(I20+J15)*st_moteur_mult_campagne*(1-J11*flex_report),0)</f>
        <v/>
      </c>
      <c r="K17" s="17">
        <f>IF(MOD(K$3,campagne_periode)=0,(J20+K15)*st_moteur_mult_campagne*(1-K11*flex_report),0)</f>
        <v/>
      </c>
      <c r="L17" s="17">
        <f>IF(MOD(L$3,campagne_periode)=0,(K20+L15)*st_moteur_mult_campagne*(1-L11*flex_report),0)</f>
        <v/>
      </c>
      <c r="M17" s="17">
        <f>IF(MOD(M$3,campagne_periode)=0,(L20+M15)*st_moteur_mult_campagne*(1-M11*flex_report),0)</f>
        <v/>
      </c>
      <c r="N17" s="17">
        <f>IF(MOD(N$3,campagne_periode)=0,(M20+N15)*st_moteur_mult_campagne*(1-N11*flex_report),0)</f>
        <v/>
      </c>
      <c r="O17" s="17">
        <f>IF(MOD(O$3,campagne_periode)=0,(N20+O15)*st_moteur_mult_campagne*(1-O11*flex_report),0)</f>
        <v/>
      </c>
      <c r="P17" s="17">
        <f>IF(MOD(P$3,campagne_periode)=0,(O20+P15)*st_moteur_mult_campagne*(1-P11*flex_report),0)</f>
        <v/>
      </c>
      <c r="Q17" s="17">
        <f>IF(MOD(Q$3,campagne_periode)=0,(P20+Q15)*st_moteur_mult_campagne*(1-Q11*flex_report),0)</f>
        <v/>
      </c>
      <c r="R17" s="17">
        <f>IF(MOD(R$3,campagne_periode)=0,(Q20+R15)*st_moteur_mult_campagne*(1-R11*flex_report),0)</f>
        <v/>
      </c>
      <c r="S17" s="17">
        <f>IF(MOD(S$3,campagne_periode)=0,(R20+S15)*st_moteur_mult_campagne*(1-S11*flex_report),0)</f>
        <v/>
      </c>
      <c r="T17" s="17">
        <f>IF(MOD(T$3,campagne_periode)=0,(S20+T15)*st_moteur_mult_campagne*(1-T11*flex_report),0)</f>
        <v/>
      </c>
      <c r="U17" s="17">
        <f>IF(MOD(U$3,campagne_periode)=0,(T20+U15)*st_moteur_mult_campagne*(1-U11*flex_report),0)</f>
        <v/>
      </c>
      <c r="V17" s="17">
        <f>IF(MOD(V$3,campagne_periode)=0,(U20+V15)*st_moteur_mult_campagne*(1-V11*flex_report),0)</f>
        <v/>
      </c>
      <c r="W17" s="17">
        <f>IF(MOD(W$3,campagne_periode)=0,(V20+W15)*st_moteur_mult_campagne*(1-W11*flex_report),0)</f>
        <v/>
      </c>
      <c r="X17" s="17">
        <f>IF(MOD(X$3,campagne_periode)=0,(W20+X15)*st_moteur_mult_campagne*(1-X11*flex_report),0)</f>
        <v/>
      </c>
    </row>
    <row r="18">
      <c r="A18" s="2" t="inlineStr">
        <is>
          <t>choc_trav</t>
        </is>
      </c>
      <c r="B18" s="2" t="inlineStr">
        <is>
          <t>Sinistre ou découverte non assurés</t>
        </is>
      </c>
      <c r="C18" s="2" t="inlineStr">
        <is>
          <t>€ 2026</t>
        </is>
      </c>
      <c r="E18" s="17">
        <f>IF(E$3=st_moteur_choc_trav_an,st_moteur_choc_trav_montant,0)</f>
        <v/>
      </c>
      <c r="F18" s="17">
        <f>IF(F$3=st_moteur_choc_trav_an,st_moteur_choc_trav_montant,0)</f>
        <v/>
      </c>
      <c r="G18" s="17">
        <f>IF(G$3=st_moteur_choc_trav_an,st_moteur_choc_trav_montant,0)</f>
        <v/>
      </c>
      <c r="H18" s="17">
        <f>IF(H$3=st_moteur_choc_trav_an,st_moteur_choc_trav_montant,0)</f>
        <v/>
      </c>
      <c r="I18" s="17">
        <f>IF(I$3=st_moteur_choc_trav_an,st_moteur_choc_trav_montant,0)</f>
        <v/>
      </c>
      <c r="J18" s="17">
        <f>IF(J$3=st_moteur_choc_trav_an,st_moteur_choc_trav_montant,0)</f>
        <v/>
      </c>
      <c r="K18" s="17">
        <f>IF(K$3=st_moteur_choc_trav_an,st_moteur_choc_trav_montant,0)</f>
        <v/>
      </c>
      <c r="L18" s="17">
        <f>IF(L$3=st_moteur_choc_trav_an,st_moteur_choc_trav_montant,0)</f>
        <v/>
      </c>
      <c r="M18" s="17">
        <f>IF(M$3=st_moteur_choc_trav_an,st_moteur_choc_trav_montant,0)</f>
        <v/>
      </c>
      <c r="N18" s="17">
        <f>IF(N$3=st_moteur_choc_trav_an,st_moteur_choc_trav_montant,0)</f>
        <v/>
      </c>
      <c r="O18" s="17">
        <f>IF(O$3=st_moteur_choc_trav_an,st_moteur_choc_trav_montant,0)</f>
        <v/>
      </c>
      <c r="P18" s="17">
        <f>IF(P$3=st_moteur_choc_trav_an,st_moteur_choc_trav_montant,0)</f>
        <v/>
      </c>
      <c r="Q18" s="17">
        <f>IF(Q$3=st_moteur_choc_trav_an,st_moteur_choc_trav_montant,0)</f>
        <v/>
      </c>
      <c r="R18" s="17">
        <f>IF(R$3=st_moteur_choc_trav_an,st_moteur_choc_trav_montant,0)</f>
        <v/>
      </c>
      <c r="S18" s="17">
        <f>IF(S$3=st_moteur_choc_trav_an,st_moteur_choc_trav_montant,0)</f>
        <v/>
      </c>
      <c r="T18" s="17">
        <f>IF(T$3=st_moteur_choc_trav_an,st_moteur_choc_trav_montant,0)</f>
        <v/>
      </c>
      <c r="U18" s="17">
        <f>IF(U$3=st_moteur_choc_trav_an,st_moteur_choc_trav_montant,0)</f>
        <v/>
      </c>
      <c r="V18" s="17">
        <f>IF(V$3=st_moteur_choc_trav_an,st_moteur_choc_trav_montant,0)</f>
        <v/>
      </c>
      <c r="W18" s="17">
        <f>IF(W$3=st_moteur_choc_trav_an,st_moteur_choc_trav_montant,0)</f>
        <v/>
      </c>
      <c r="X18" s="17">
        <f>IF(X$3=st_moteur_choc_trav_an,st_moteur_choc_trav_montant,0)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(S2_ech_log*mot_log_cn+S2_ech_stock*mot_stock_cn+S2_ech_pv*mot_pv_cn+S2_ech_bois*mot_bois_cn)*E22*E8*IF(E$3&gt;=st_moteur_debut_mult,st_moteur_mult_A,1)*IF(E10=1,1-0.05,IF(E10=2,1-0.02,1))</f>
        <v/>
      </c>
      <c r="F23" s="17">
        <f>(S2_ech_log*mot_log_cn+S2_ech_stock*mot_stock_cn+S2_ech_pv*mot_pv_cn+S2_ech_bois*mot_bois_cn)*F22*F8*IF(F$3&gt;=st_moteur_debut_mult,st_moteur_mult_A,1)*IF(F10=1,1-0.05,IF(F10=2,1-0.02,1))</f>
        <v/>
      </c>
      <c r="G23" s="17">
        <f>(S2_ech_log*mot_log_cn+S2_ech_stock*mot_stock_cn+S2_ech_pv*mot_pv_cn+S2_ech_bois*mot_bois_cn)*G22*G8*IF(G$3&gt;=st_moteur_debut_mult,st_moteur_mult_A,1)*IF(G10=1,1-0.05,IF(G10=2,1-0.02,1))</f>
        <v/>
      </c>
      <c r="H23" s="17">
        <f>(S2_ech_log*mot_log_cn+S2_ech_stock*mot_stock_cn+S2_ech_pv*mot_pv_cn+S2_ech_bois*mot_bois_cn)*H22*H8*IF(H$3&gt;=st_moteur_debut_mult,st_moteur_mult_A,1)*IF(H10=1,1-0.05,IF(H10=2,1-0.02,1))</f>
        <v/>
      </c>
      <c r="I23" s="17">
        <f>(S2_ech_log*mot_log_cn+S2_ech_stock*mot_stock_cn+S2_ech_pv*mot_pv_cn+S2_ech_bois*mot_bois_cn)*I22*I8*IF(I$3&gt;=st_moteur_debut_mult,st_moteur_mult_A,1)*IF(I10=1,1-0.05,IF(I10=2,1-0.02,1))</f>
        <v/>
      </c>
      <c r="J23" s="17">
        <f>(S2_ech_log*mot_log_cn+S2_ech_stock*mot_stock_cn+S2_ech_pv*mot_pv_cn+S2_ech_bois*mot_bois_cn)*J22*J8*IF(J$3&gt;=st_moteur_debut_mult,st_moteur_mult_A,1)*IF(J10=1,1-0.05,IF(J10=2,1-0.02,1))</f>
        <v/>
      </c>
      <c r="K23" s="17">
        <f>(S2_ech_log*mot_log_cn+S2_ech_stock*mot_stock_cn+S2_ech_pv*mot_pv_cn+S2_ech_bois*mot_bois_cn)*K22*K8*IF(K$3&gt;=st_moteur_debut_mult,st_moteur_mult_A,1)*IF(K10=1,1-0.05,IF(K10=2,1-0.02,1))</f>
        <v/>
      </c>
      <c r="L23" s="17">
        <f>(S2_ech_log*mot_log_cn+S2_ech_stock*mot_stock_cn+S2_ech_pv*mot_pv_cn+S2_ech_bois*mot_bois_cn)*L22*L8*IF(L$3&gt;=st_moteur_debut_mult,st_moteur_mult_A,1)*IF(L10=1,1-0.05,IF(L10=2,1-0.02,1))</f>
        <v/>
      </c>
      <c r="M23" s="17">
        <f>(S2_ech_log*mot_log_cn+S2_ech_stock*mot_stock_cn+S2_ech_pv*mot_pv_cn+S2_ech_bois*mot_bois_cn)*M22*M8*IF(M$3&gt;=st_moteur_debut_mult,st_moteur_mult_A,1)*IF(M10=1,1-0.05,IF(M10=2,1-0.02,1))</f>
        <v/>
      </c>
      <c r="N23" s="17">
        <f>(S2_ech_log*mot_log_cn+S2_ech_stock*mot_stock_cn+S2_ech_pv*mot_pv_cn+S2_ech_bois*mot_bois_cn)*N22*N8*IF(N$3&gt;=st_moteur_debut_mult,st_moteur_mult_A,1)*IF(N10=1,1-0.05,IF(N10=2,1-0.02,1))</f>
        <v/>
      </c>
      <c r="O23" s="17">
        <f>(S2_ech_log*mot_log_cn+S2_ech_stock*mot_stock_cn+S2_ech_pv*mot_pv_cn+S2_ech_bois*mot_bois_cn)*O22*O8*IF(O$3&gt;=st_moteur_debut_mult,st_moteur_mult_A,1)*IF(O10=1,1-0.05,IF(O10=2,1-0.02,1))</f>
        <v/>
      </c>
      <c r="P23" s="17">
        <f>(S2_ech_log*mot_log_cn+S2_ech_stock*mot_stock_cn+S2_ech_pv*mot_pv_cn+S2_ech_bois*mot_bois_cn)*P22*P8*IF(P$3&gt;=st_moteur_debut_mult,st_moteur_mult_A,1)*IF(P10=1,1-0.05,IF(P10=2,1-0.02,1))</f>
        <v/>
      </c>
      <c r="Q23" s="17">
        <f>(S2_ech_log*mot_log_cn+S2_ech_stock*mot_stock_cn+S2_ech_pv*mot_pv_cn+S2_ech_bois*mot_bois_cn)*Q22*Q8*IF(Q$3&gt;=st_moteur_debut_mult,st_moteur_mult_A,1)*IF(Q10=1,1-0.05,IF(Q10=2,1-0.02,1))</f>
        <v/>
      </c>
      <c r="R23" s="17">
        <f>(S2_ech_log*mot_log_cn+S2_ech_stock*mot_stock_cn+S2_ech_pv*mot_pv_cn+S2_ech_bois*mot_bois_cn)*R22*R8*IF(R$3&gt;=st_moteur_debut_mult,st_moteur_mult_A,1)*IF(R10=1,1-0.05,IF(R10=2,1-0.02,1))</f>
        <v/>
      </c>
      <c r="S23" s="17">
        <f>(S2_ech_log*mot_log_cn+S2_ech_stock*mot_stock_cn+S2_ech_pv*mot_pv_cn+S2_ech_bois*mot_bois_cn)*S22*S8*IF(S$3&gt;=st_moteur_debut_mult,st_moteur_mult_A,1)*IF(S10=1,1-0.05,IF(S10=2,1-0.02,1))</f>
        <v/>
      </c>
      <c r="T23" s="17">
        <f>(S2_ech_log*mot_log_cn+S2_ech_stock*mot_stock_cn+S2_ech_pv*mot_pv_cn+S2_ech_bois*mot_bois_cn)*T22*T8*IF(T$3&gt;=st_moteur_debut_mult,st_moteur_mult_A,1)*IF(T10=1,1-0.05,IF(T10=2,1-0.02,1))</f>
        <v/>
      </c>
      <c r="U23" s="17">
        <f>(S2_ech_log*mot_log_cn+S2_ech_stock*mot_stock_cn+S2_ech_pv*mot_pv_cn+S2_ech_bois*mot_bois_cn)*U22*U8*IF(U$3&gt;=st_moteur_debut_mult,st_moteur_mult_A,1)*IF(U10=1,1-0.05,IF(U10=2,1-0.02,1))</f>
        <v/>
      </c>
      <c r="V23" s="17">
        <f>(S2_ech_log*mot_log_cn+S2_ech_stock*mot_stock_cn+S2_ech_pv*mot_pv_cn+S2_ech_bois*mot_bois_cn)*V22*V8*IF(V$3&gt;=st_moteur_debut_mult,st_moteur_mult_A,1)*IF(V10=1,1-0.05,IF(V10=2,1-0.02,1))</f>
        <v/>
      </c>
      <c r="W23" s="17">
        <f>(S2_ech_log*mot_log_cn+S2_ech_stock*mot_stock_cn+S2_ech_pv*mot_pv_cn+S2_ech_bois*mot_bois_cn)*W22*W8*IF(W$3&gt;=st_moteur_debut_mult,st_moteur_mult_A,1)*IF(W10=1,1-0.05,IF(W10=2,1-0.02,1))</f>
        <v/>
      </c>
      <c r="X23" s="17">
        <f>(S2_ech_log*mot_log_cn+S2_ech_stock*mot_stock_cn+S2_ech_pv*mot_pv_cn+S2_ech_bois*mot_bois_cn)*X22*X8*IF(X$3&gt;=st_moteur_debut_mult,st_moteur_mult_A,1)*IF(X10=1,1-0.05,IF(X10=2,1-0.02,1))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(S2_ech_eq_std*mot_eq_std_cn+S2_ech_eq_ret*mot_eq_ret_cn)*E22*E8*IF(E$3&gt;=st_moteur_debut_mult,st_moteur_mult_B,1)*IF(E10=1,1-0.15,IF(E10=2,1-0.05,1))</f>
        <v/>
      </c>
      <c r="F24" s="17">
        <f>(S2_ech_eq_std*mot_eq_std_cn+S2_ech_eq_ret*mot_eq_ret_cn)*F22*F8*IF(F$3&gt;=st_moteur_debut_mult,st_moteur_mult_B,1)*IF(F10=1,1-0.15,IF(F10=2,1-0.05,1))</f>
        <v/>
      </c>
      <c r="G24" s="17">
        <f>(S2_ech_eq_std*mot_eq_std_cn+S2_ech_eq_ret*mot_eq_ret_cn)*G22*G8*IF(G$3&gt;=st_moteur_debut_mult,st_moteur_mult_B,1)*IF(G10=1,1-0.15,IF(G10=2,1-0.05,1))</f>
        <v/>
      </c>
      <c r="H24" s="17">
        <f>(S2_ech_eq_std*mot_eq_std_cn+S2_ech_eq_ret*mot_eq_ret_cn)*H22*H8*IF(H$3&gt;=st_moteur_debut_mult,st_moteur_mult_B,1)*IF(H10=1,1-0.15,IF(H10=2,1-0.05,1))</f>
        <v/>
      </c>
      <c r="I24" s="17">
        <f>(S2_ech_eq_std*mot_eq_std_cn+S2_ech_eq_ret*mot_eq_ret_cn)*I22*I8*IF(I$3&gt;=st_moteur_debut_mult,st_moteur_mult_B,1)*IF(I10=1,1-0.15,IF(I10=2,1-0.05,1))</f>
        <v/>
      </c>
      <c r="J24" s="17">
        <f>(S2_ech_eq_std*mot_eq_std_cn+S2_ech_eq_ret*mot_eq_ret_cn)*J22*J8*IF(J$3&gt;=st_moteur_debut_mult,st_moteur_mult_B,1)*IF(J10=1,1-0.15,IF(J10=2,1-0.05,1))</f>
        <v/>
      </c>
      <c r="K24" s="17">
        <f>(S2_ech_eq_std*mot_eq_std_cn+S2_ech_eq_ret*mot_eq_ret_cn)*K22*K8*IF(K$3&gt;=st_moteur_debut_mult,st_moteur_mult_B,1)*IF(K10=1,1-0.15,IF(K10=2,1-0.05,1))</f>
        <v/>
      </c>
      <c r="L24" s="17">
        <f>(S2_ech_eq_std*mot_eq_std_cn+S2_ech_eq_ret*mot_eq_ret_cn)*L22*L8*IF(L$3&gt;=st_moteur_debut_mult,st_moteur_mult_B,1)*IF(L10=1,1-0.15,IF(L10=2,1-0.05,1))</f>
        <v/>
      </c>
      <c r="M24" s="17">
        <f>(S2_ech_eq_std*mot_eq_std_cn+S2_ech_eq_ret*mot_eq_ret_cn)*M22*M8*IF(M$3&gt;=st_moteur_debut_mult,st_moteur_mult_B,1)*IF(M10=1,1-0.15,IF(M10=2,1-0.05,1))</f>
        <v/>
      </c>
      <c r="N24" s="17">
        <f>(S2_ech_eq_std*mot_eq_std_cn+S2_ech_eq_ret*mot_eq_ret_cn)*N22*N8*IF(N$3&gt;=st_moteur_debut_mult,st_moteur_mult_B,1)*IF(N10=1,1-0.15,IF(N10=2,1-0.05,1))</f>
        <v/>
      </c>
      <c r="O24" s="17">
        <f>(S2_ech_eq_std*mot_eq_std_cn+S2_ech_eq_ret*mot_eq_ret_cn)*O22*O8*IF(O$3&gt;=st_moteur_debut_mult,st_moteur_mult_B,1)*IF(O10=1,1-0.15,IF(O10=2,1-0.05,1))</f>
        <v/>
      </c>
      <c r="P24" s="17">
        <f>(S2_ech_eq_std*mot_eq_std_cn+S2_ech_eq_ret*mot_eq_ret_cn)*P22*P8*IF(P$3&gt;=st_moteur_debut_mult,st_moteur_mult_B,1)*IF(P10=1,1-0.15,IF(P10=2,1-0.05,1))</f>
        <v/>
      </c>
      <c r="Q24" s="17">
        <f>(S2_ech_eq_std*mot_eq_std_cn+S2_ech_eq_ret*mot_eq_ret_cn)*Q22*Q8*IF(Q$3&gt;=st_moteur_debut_mult,st_moteur_mult_B,1)*IF(Q10=1,1-0.15,IF(Q10=2,1-0.05,1))</f>
        <v/>
      </c>
      <c r="R24" s="17">
        <f>(S2_ech_eq_std*mot_eq_std_cn+S2_ech_eq_ret*mot_eq_ret_cn)*R22*R8*IF(R$3&gt;=st_moteur_debut_mult,st_moteur_mult_B,1)*IF(R10=1,1-0.15,IF(R10=2,1-0.05,1))</f>
        <v/>
      </c>
      <c r="S24" s="17">
        <f>(S2_ech_eq_std*mot_eq_std_cn+S2_ech_eq_ret*mot_eq_ret_cn)*S22*S8*IF(S$3&gt;=st_moteur_debut_mult,st_moteur_mult_B,1)*IF(S10=1,1-0.15,IF(S10=2,1-0.05,1))</f>
        <v/>
      </c>
      <c r="T24" s="17">
        <f>(S2_ech_eq_std*mot_eq_std_cn+S2_ech_eq_ret*mot_eq_ret_cn)*T22*T8*IF(T$3&gt;=st_moteur_debut_mult,st_moteur_mult_B,1)*IF(T10=1,1-0.15,IF(T10=2,1-0.05,1))</f>
        <v/>
      </c>
      <c r="U24" s="17">
        <f>(S2_ech_eq_std*mot_eq_std_cn+S2_ech_eq_ret*mot_eq_ret_cn)*U22*U8*IF(U$3&gt;=st_moteur_debut_mult,st_moteur_mult_B,1)*IF(U10=1,1-0.15,IF(U10=2,1-0.05,1))</f>
        <v/>
      </c>
      <c r="V24" s="17">
        <f>(S2_ech_eq_std*mot_eq_std_cn+S2_ech_eq_ret*mot_eq_ret_cn)*V22*V8*IF(V$3&gt;=st_moteur_debut_mult,st_moteur_mult_B,1)*IF(V10=1,1-0.15,IF(V10=2,1-0.05,1))</f>
        <v/>
      </c>
      <c r="W24" s="17">
        <f>(S2_ech_eq_std*mot_eq_std_cn+S2_ech_eq_ret*mot_eq_ret_cn)*W22*W8*IF(W$3&gt;=st_moteur_debut_mult,st_moteur_mult_B,1)*IF(W10=1,1-0.15,IF(W10=2,1-0.05,1))</f>
        <v/>
      </c>
      <c r="X24" s="17">
        <f>(S2_ech_eq_std*mot_eq_std_cn+S2_ech_eq_ret*mot_eq_ret_cn)*X22*X8*IF(X$3&gt;=st_moteur_debut_mult,st_moteur_mult_B,1)*IF(X10=1,1-0.15,IF(X10=2,1-0.05,1))</f>
        <v/>
      </c>
    </row>
    <row r="25">
      <c r="A25" s="2" t="inlineStr">
        <is>
          <t>act_C</t>
        </is>
      </c>
      <c r="B25" s="2" t="inlineStr">
        <is>
          <t>Contribution des activités occasionnelles (classe C)</t>
        </is>
      </c>
      <c r="C25" s="2" t="inlineStr">
        <is>
          <t>€ 2026</t>
        </is>
      </c>
      <c r="E25" s="17">
        <f>(S2_ech_tourn*mot_tourn_cn)*E22*E8*IF(E$3&gt;=st_moteur_debut_mult,st_moteur_mult_C,1)*IF(E10=1,1-0.8,IF(E10=2,1-0.3,1))</f>
        <v/>
      </c>
      <c r="F25" s="17">
        <f>(S2_ech_tourn*mot_tourn_cn)*F22*F8*IF(F$3&gt;=st_moteur_debut_mult,st_moteur_mult_C,1)*IF(F10=1,1-0.8,IF(F10=2,1-0.3,1))</f>
        <v/>
      </c>
      <c r="G25" s="17">
        <f>(S2_ech_tourn*mot_tourn_cn)*G22*G8*IF(G$3&gt;=st_moteur_debut_mult,st_moteur_mult_C,1)*IF(G10=1,1-0.8,IF(G10=2,1-0.3,1))</f>
        <v/>
      </c>
      <c r="H25" s="17">
        <f>(S2_ech_tourn*mot_tourn_cn)*H22*H8*IF(H$3&gt;=st_moteur_debut_mult,st_moteur_mult_C,1)*IF(H10=1,1-0.8,IF(H10=2,1-0.3,1))</f>
        <v/>
      </c>
      <c r="I25" s="17">
        <f>(S2_ech_tourn*mot_tourn_cn)*I22*I8*IF(I$3&gt;=st_moteur_debut_mult,st_moteur_mult_C,1)*IF(I10=1,1-0.8,IF(I10=2,1-0.3,1))</f>
        <v/>
      </c>
      <c r="J25" s="17">
        <f>(S2_ech_tourn*mot_tourn_cn)*J22*J8*IF(J$3&gt;=st_moteur_debut_mult,st_moteur_mult_C,1)*IF(J10=1,1-0.8,IF(J10=2,1-0.3,1))</f>
        <v/>
      </c>
      <c r="K25" s="17">
        <f>(S2_ech_tourn*mot_tourn_cn)*K22*K8*IF(K$3&gt;=st_moteur_debut_mult,st_moteur_mult_C,1)*IF(K10=1,1-0.8,IF(K10=2,1-0.3,1))</f>
        <v/>
      </c>
      <c r="L25" s="17">
        <f>(S2_ech_tourn*mot_tourn_cn)*L22*L8*IF(L$3&gt;=st_moteur_debut_mult,st_moteur_mult_C,1)*IF(L10=1,1-0.8,IF(L10=2,1-0.3,1))</f>
        <v/>
      </c>
      <c r="M25" s="17">
        <f>(S2_ech_tourn*mot_tourn_cn)*M22*M8*IF(M$3&gt;=st_moteur_debut_mult,st_moteur_mult_C,1)*IF(M10=1,1-0.8,IF(M10=2,1-0.3,1))</f>
        <v/>
      </c>
      <c r="N25" s="17">
        <f>(S2_ech_tourn*mot_tourn_cn)*N22*N8*IF(N$3&gt;=st_moteur_debut_mult,st_moteur_mult_C,1)*IF(N10=1,1-0.8,IF(N10=2,1-0.3,1))</f>
        <v/>
      </c>
      <c r="O25" s="17">
        <f>(S2_ech_tourn*mot_tourn_cn)*O22*O8*IF(O$3&gt;=st_moteur_debut_mult,st_moteur_mult_C,1)*IF(O10=1,1-0.8,IF(O10=2,1-0.3,1))</f>
        <v/>
      </c>
      <c r="P25" s="17">
        <f>(S2_ech_tourn*mot_tourn_cn)*P22*P8*IF(P$3&gt;=st_moteur_debut_mult,st_moteur_mult_C,1)*IF(P10=1,1-0.8,IF(P10=2,1-0.3,1))</f>
        <v/>
      </c>
      <c r="Q25" s="17">
        <f>(S2_ech_tourn*mot_tourn_cn)*Q22*Q8*IF(Q$3&gt;=st_moteur_debut_mult,st_moteur_mult_C,1)*IF(Q10=1,1-0.8,IF(Q10=2,1-0.3,1))</f>
        <v/>
      </c>
      <c r="R25" s="17">
        <f>(S2_ech_tourn*mot_tourn_cn)*R22*R8*IF(R$3&gt;=st_moteur_debut_mult,st_moteur_mult_C,1)*IF(R10=1,1-0.8,IF(R10=2,1-0.3,1))</f>
        <v/>
      </c>
      <c r="S25" s="17">
        <f>(S2_ech_tourn*mot_tourn_cn)*S22*S8*IF(S$3&gt;=st_moteur_debut_mult,st_moteur_mult_C,1)*IF(S10=1,1-0.8,IF(S10=2,1-0.3,1))</f>
        <v/>
      </c>
      <c r="T25" s="17">
        <f>(S2_ech_tourn*mot_tourn_cn)*T22*T8*IF(T$3&gt;=st_moteur_debut_mult,st_moteur_mult_C,1)*IF(T10=1,1-0.8,IF(T10=2,1-0.3,1))</f>
        <v/>
      </c>
      <c r="U25" s="17">
        <f>(S2_ech_tourn*mot_tourn_cn)*U22*U8*IF(U$3&gt;=st_moteur_debut_mult,st_moteur_mult_C,1)*IF(U10=1,1-0.8,IF(U10=2,1-0.3,1))</f>
        <v/>
      </c>
      <c r="V25" s="17">
        <f>(S2_ech_tourn*mot_tourn_cn)*V22*V8*IF(V$3&gt;=st_moteur_debut_mult,st_moteur_mult_C,1)*IF(V10=1,1-0.8,IF(V10=2,1-0.3,1))</f>
        <v/>
      </c>
      <c r="W25" s="17">
        <f>(S2_ech_tourn*mot_tourn_cn)*W22*W8*IF(W$3&gt;=st_moteur_debut_mult,st_moteur_mult_C,1)*IF(W10=1,1-0.8,IF(W10=2,1-0.3,1))</f>
        <v/>
      </c>
      <c r="X25" s="17">
        <f>(S2_ech_tourn*mot_tourn_cn)*X22*X8*IF(X$3&gt;=st_moteur_debut_mult,st_moteur_mult_C,1)*IF(X10=1,1-0.8,IF(X10=2,1-0.3,1))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IF(AND(E$3&lt;=S2_sol_div_annees,E$3&lt;=st_moteur_div_fin),S2_sol_div*IF(E10=1,0.5,1),0)</f>
        <v/>
      </c>
      <c r="F33" s="17">
        <f>IF(AND(F$3&lt;=S2_sol_div_annees,F$3&lt;=st_moteur_div_fin),S2_sol_div*IF(F10=1,0.5,1),0)</f>
        <v/>
      </c>
      <c r="G33" s="17">
        <f>IF(AND(G$3&lt;=S2_sol_div_annees,G$3&lt;=st_moteur_div_fin),S2_sol_div*IF(G10=1,0.5,1),0)</f>
        <v/>
      </c>
      <c r="H33" s="17">
        <f>IF(AND(H$3&lt;=S2_sol_div_annees,H$3&lt;=st_moteur_div_fin),S2_sol_div*IF(H10=1,0.5,1),0)</f>
        <v/>
      </c>
      <c r="I33" s="17">
        <f>IF(AND(I$3&lt;=S2_sol_div_annees,I$3&lt;=st_moteur_div_fin),S2_sol_div*IF(I10=1,0.5,1),0)</f>
        <v/>
      </c>
      <c r="J33" s="17">
        <f>IF(AND(J$3&lt;=S2_sol_div_annees,J$3&lt;=st_moteur_div_fin),S2_sol_div*IF(J10=1,0.5,1),0)</f>
        <v/>
      </c>
      <c r="K33" s="17">
        <f>IF(AND(K$3&lt;=S2_sol_div_annees,K$3&lt;=st_moteur_div_fin),S2_sol_div*IF(K10=1,0.5,1),0)</f>
        <v/>
      </c>
      <c r="L33" s="17">
        <f>IF(AND(L$3&lt;=S2_sol_div_annees,L$3&lt;=st_moteur_div_fin),S2_sol_div*IF(L10=1,0.5,1),0)</f>
        <v/>
      </c>
      <c r="M33" s="17">
        <f>IF(AND(M$3&lt;=S2_sol_div_annees,M$3&lt;=st_moteur_div_fin),S2_sol_div*IF(M10=1,0.5,1),0)</f>
        <v/>
      </c>
      <c r="N33" s="17">
        <f>IF(AND(N$3&lt;=S2_sol_div_annees,N$3&lt;=st_moteur_div_fin),S2_sol_div*IF(N10=1,0.5,1),0)</f>
        <v/>
      </c>
      <c r="O33" s="17">
        <f>IF(AND(O$3&lt;=S2_sol_div_annees,O$3&lt;=st_moteur_div_fin),S2_sol_div*IF(O10=1,0.5,1),0)</f>
        <v/>
      </c>
      <c r="P33" s="17">
        <f>IF(AND(P$3&lt;=S2_sol_div_annees,P$3&lt;=st_moteur_div_fin),S2_sol_div*IF(P10=1,0.5,1),0)</f>
        <v/>
      </c>
      <c r="Q33" s="17">
        <f>IF(AND(Q$3&lt;=S2_sol_div_annees,Q$3&lt;=st_moteur_div_fin),S2_sol_div*IF(Q10=1,0.5,1),0)</f>
        <v/>
      </c>
      <c r="R33" s="17">
        <f>IF(AND(R$3&lt;=S2_sol_div_annees,R$3&lt;=st_moteur_div_fin),S2_sol_div*IF(R10=1,0.5,1),0)</f>
        <v/>
      </c>
      <c r="S33" s="17">
        <f>IF(AND(S$3&lt;=S2_sol_div_annees,S$3&lt;=st_moteur_div_fin),S2_sol_div*IF(S10=1,0.5,1),0)</f>
        <v/>
      </c>
      <c r="T33" s="17">
        <f>IF(AND(T$3&lt;=S2_sol_div_annees,T$3&lt;=st_moteur_div_fin),S2_sol_div*IF(T10=1,0.5,1),0)</f>
        <v/>
      </c>
      <c r="U33" s="17">
        <f>IF(AND(U$3&lt;=S2_sol_div_annees,U$3&lt;=st_moteur_div_fin),S2_sol_div*IF(U10=1,0.5,1),0)</f>
        <v/>
      </c>
      <c r="V33" s="17">
        <f>IF(AND(V$3&lt;=S2_sol_div_annees,V$3&lt;=st_moteur_div_fin),S2_sol_div*IF(V10=1,0.5,1),0)</f>
        <v/>
      </c>
      <c r="W33" s="17">
        <f>IF(AND(W$3&lt;=S2_sol_div_annees,W$3&lt;=st_moteur_div_fin),S2_sol_div*IF(W10=1,0.5,1),0)</f>
        <v/>
      </c>
      <c r="X33" s="17">
        <f>IF(AND(X$3&lt;=S2_sol_div_annees,X$3&lt;=st_moteur_div_fin),S2_sol_div*IF(X10=1,0.5,1),0)</f>
        <v/>
      </c>
    </row>
    <row r="34">
      <c r="A34" s="2" t="inlineStr">
        <is>
          <t>rdt_dot</t>
        </is>
      </c>
      <c r="B34" s="2" t="inlineStr">
        <is>
          <t>Rendement réel de la dotation de l'année</t>
        </is>
      </c>
      <c r="C34" s="2" t="inlineStr">
        <is>
          <t>%</t>
        </is>
      </c>
      <c r="E34" s="20">
        <f>dot_rendement+st_moteur_dot_rdt_delta+IF(E10=1,-0.25,0)</f>
        <v/>
      </c>
      <c r="F34" s="20">
        <f>dot_rendement+st_moteur_dot_rdt_delta+IF(F10=1,-0.25,0)</f>
        <v/>
      </c>
      <c r="G34" s="20">
        <f>dot_rendement+st_moteur_dot_rdt_delta+IF(G10=1,-0.25,0)</f>
        <v/>
      </c>
      <c r="H34" s="20">
        <f>dot_rendement+st_moteur_dot_rdt_delta+IF(H10=1,-0.25,0)</f>
        <v/>
      </c>
      <c r="I34" s="20">
        <f>dot_rendement+st_moteur_dot_rdt_delta+IF(I10=1,-0.25,0)</f>
        <v/>
      </c>
      <c r="J34" s="20">
        <f>dot_rendement+st_moteur_dot_rdt_delta+IF(J10=1,-0.25,0)</f>
        <v/>
      </c>
      <c r="K34" s="20">
        <f>dot_rendement+st_moteur_dot_rdt_delta+IF(K10=1,-0.25,0)</f>
        <v/>
      </c>
      <c r="L34" s="20">
        <f>dot_rendement+st_moteur_dot_rdt_delta+IF(L10=1,-0.25,0)</f>
        <v/>
      </c>
      <c r="M34" s="20">
        <f>dot_rendement+st_moteur_dot_rdt_delta+IF(M10=1,-0.25,0)</f>
        <v/>
      </c>
      <c r="N34" s="20">
        <f>dot_rendement+st_moteur_dot_rdt_delta+IF(N10=1,-0.25,0)</f>
        <v/>
      </c>
      <c r="O34" s="20">
        <f>dot_rendement+st_moteur_dot_rdt_delta+IF(O10=1,-0.25,0)</f>
        <v/>
      </c>
      <c r="P34" s="20">
        <f>dot_rendement+st_moteur_dot_rdt_delta+IF(P10=1,-0.25,0)</f>
        <v/>
      </c>
      <c r="Q34" s="20">
        <f>dot_rendement+st_moteur_dot_rdt_delta+IF(Q10=1,-0.25,0)</f>
        <v/>
      </c>
      <c r="R34" s="20">
        <f>dot_rendement+st_moteur_dot_rdt_delta+IF(R10=1,-0.25,0)</f>
        <v/>
      </c>
      <c r="S34" s="20">
        <f>dot_rendement+st_moteur_dot_rdt_delta+IF(S10=1,-0.25,0)</f>
        <v/>
      </c>
      <c r="T34" s="20">
        <f>dot_rendement+st_moteur_dot_rdt_delta+IF(T10=1,-0.25,0)</f>
        <v/>
      </c>
      <c r="U34" s="20">
        <f>dot_rendement+st_moteur_dot_rdt_delta+IF(U10=1,-0.25,0)</f>
        <v/>
      </c>
      <c r="V34" s="20">
        <f>dot_rendement+st_moteur_dot_rdt_delta+IF(V10=1,-0.25,0)</f>
        <v/>
      </c>
      <c r="W34" s="20">
        <f>dot_rendement+st_moteur_dot_rdt_delta+IF(W10=1,-0.25,0)</f>
        <v/>
      </c>
      <c r="X34" s="20">
        <f>dot_rendement+st_moteur_dot_rdt_delta+IF(X10=1,-0.25,0)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Cumul défavorable : activités −30 %, crise en année 5, sinistre de 600 000 € en année 6, salaires +1,5 % réel</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D5*(1+g_salaires+st_cumul_g_sal_extra)</f>
        <v/>
      </c>
      <c r="F5" s="21">
        <f>E5*(1+g_salaires+st_cumul_g_sal_extra)</f>
        <v/>
      </c>
      <c r="G5" s="21">
        <f>F5*(1+g_salaires+st_cumul_g_sal_extra)</f>
        <v/>
      </c>
      <c r="H5" s="21">
        <f>G5*(1+g_salaires+st_cumul_g_sal_extra)</f>
        <v/>
      </c>
      <c r="I5" s="21">
        <f>H5*(1+g_salaires+st_cumul_g_sal_extra)</f>
        <v/>
      </c>
      <c r="J5" s="21">
        <f>I5*(1+g_salaires+st_cumul_g_sal_extra)</f>
        <v/>
      </c>
      <c r="K5" s="21">
        <f>J5*(1+g_salaires+st_cumul_g_sal_extra)</f>
        <v/>
      </c>
      <c r="L5" s="21">
        <f>K5*(1+g_salaires+st_cumul_g_sal_extra)</f>
        <v/>
      </c>
      <c r="M5" s="21">
        <f>L5*(1+g_salaires+st_cumul_g_sal_extra)</f>
        <v/>
      </c>
      <c r="N5" s="21">
        <f>M5*(1+g_salaires+st_cumul_g_sal_extra)</f>
        <v/>
      </c>
      <c r="O5" s="21">
        <f>N5*(1+g_salaires+st_cumul_g_sal_extra)</f>
        <v/>
      </c>
      <c r="P5" s="21">
        <f>O5*(1+g_salaires+st_cumul_g_sal_extra)</f>
        <v/>
      </c>
      <c r="Q5" s="21">
        <f>P5*(1+g_salaires+st_cumul_g_sal_extra)</f>
        <v/>
      </c>
      <c r="R5" s="21">
        <f>Q5*(1+g_salaires+st_cumul_g_sal_extra)</f>
        <v/>
      </c>
      <c r="S5" s="21">
        <f>R5*(1+g_salaires+st_cumul_g_sal_extra)</f>
        <v/>
      </c>
      <c r="T5" s="21">
        <f>S5*(1+g_salaires+st_cumul_g_sal_extra)</f>
        <v/>
      </c>
      <c r="U5" s="21">
        <f>T5*(1+g_salaires+st_cumul_g_sal_extra)</f>
        <v/>
      </c>
      <c r="V5" s="21">
        <f>U5*(1+g_salaires+st_cumul_g_sal_extra)</f>
        <v/>
      </c>
      <c r="W5" s="21">
        <f>V5*(1+g_salaires+st_cumul_g_sal_extra)</f>
        <v/>
      </c>
      <c r="X5" s="21">
        <f>W5*(1+g_salaires+st_cumul_g_sal_extra)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IF(st_cumul_crise_an&gt;0,IF(E$3=st_cumul_crise_an,1,IF(E$3=st_cumul_crise_an+1,2,0)),0)</f>
        <v/>
      </c>
      <c r="F10" s="21">
        <f>IF(st_cumul_crise_an&gt;0,IF(F$3=st_cumul_crise_an,1,IF(F$3=st_cumul_crise_an+1,2,0)),0)</f>
        <v/>
      </c>
      <c r="G10" s="21">
        <f>IF(st_cumul_crise_an&gt;0,IF(G$3=st_cumul_crise_an,1,IF(G$3=st_cumul_crise_an+1,2,0)),0)</f>
        <v/>
      </c>
      <c r="H10" s="21">
        <f>IF(st_cumul_crise_an&gt;0,IF(H$3=st_cumul_crise_an,1,IF(H$3=st_cumul_crise_an+1,2,0)),0)</f>
        <v/>
      </c>
      <c r="I10" s="21">
        <f>IF(st_cumul_crise_an&gt;0,IF(I$3=st_cumul_crise_an,1,IF(I$3=st_cumul_crise_an+1,2,0)),0)</f>
        <v/>
      </c>
      <c r="J10" s="21">
        <f>IF(st_cumul_crise_an&gt;0,IF(J$3=st_cumul_crise_an,1,IF(J$3=st_cumul_crise_an+1,2,0)),0)</f>
        <v/>
      </c>
      <c r="K10" s="21">
        <f>IF(st_cumul_crise_an&gt;0,IF(K$3=st_cumul_crise_an,1,IF(K$3=st_cumul_crise_an+1,2,0)),0)</f>
        <v/>
      </c>
      <c r="L10" s="21">
        <f>IF(st_cumul_crise_an&gt;0,IF(L$3=st_cumul_crise_an,1,IF(L$3=st_cumul_crise_an+1,2,0)),0)</f>
        <v/>
      </c>
      <c r="M10" s="21">
        <f>IF(st_cumul_crise_an&gt;0,IF(M$3=st_cumul_crise_an,1,IF(M$3=st_cumul_crise_an+1,2,0)),0)</f>
        <v/>
      </c>
      <c r="N10" s="21">
        <f>IF(st_cumul_crise_an&gt;0,IF(N$3=st_cumul_crise_an,1,IF(N$3=st_cumul_crise_an+1,2,0)),0)</f>
        <v/>
      </c>
      <c r="O10" s="21">
        <f>IF(st_cumul_crise_an&gt;0,IF(O$3=st_cumul_crise_an,1,IF(O$3=st_cumul_crise_an+1,2,0)),0)</f>
        <v/>
      </c>
      <c r="P10" s="21">
        <f>IF(st_cumul_crise_an&gt;0,IF(P$3=st_cumul_crise_an,1,IF(P$3=st_cumul_crise_an+1,2,0)),0)</f>
        <v/>
      </c>
      <c r="Q10" s="21">
        <f>IF(st_cumul_crise_an&gt;0,IF(Q$3=st_cumul_crise_an,1,IF(Q$3=st_cumul_crise_an+1,2,0)),0)</f>
        <v/>
      </c>
      <c r="R10" s="21">
        <f>IF(st_cumul_crise_an&gt;0,IF(R$3=st_cumul_crise_an,1,IF(R$3=st_cumul_crise_an+1,2,0)),0)</f>
        <v/>
      </c>
      <c r="S10" s="21">
        <f>IF(st_cumul_crise_an&gt;0,IF(S$3=st_cumul_crise_an,1,IF(S$3=st_cumul_crise_an+1,2,0)),0)</f>
        <v/>
      </c>
      <c r="T10" s="21">
        <f>IF(st_cumul_crise_an&gt;0,IF(T$3=st_cumul_crise_an,1,IF(T$3=st_cumul_crise_an+1,2,0)),0)</f>
        <v/>
      </c>
      <c r="U10" s="21">
        <f>IF(st_cumul_crise_an&gt;0,IF(U$3=st_cumul_crise_an,1,IF(U$3=st_cumul_crise_an+1,2,0)),0)</f>
        <v/>
      </c>
      <c r="V10" s="21">
        <f>IF(st_cumul_crise_an&gt;0,IF(V$3=st_cumul_crise_an,1,IF(V$3=st_cumul_crise_an+1,2,0)),0)</f>
        <v/>
      </c>
      <c r="W10" s="21">
        <f>IF(st_cumul_crise_an&gt;0,IF(W$3=st_cumul_crise_an,1,IF(W$3=st_cumul_crise_an+1,2,0)),0)</f>
        <v/>
      </c>
      <c r="X10" s="21">
        <f>IF(st_cumul_crise_an&gt;0,IF(X$3=st_cumul_crise_an,1,IF(X$3=st_cumul_crise_an+1,2,0)),0)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(bud_chauffage_S2+bud_hors_gel_S2+bud_electricite_S2)*E7*IF(AND(E$3&gt;=st_cumul_energie_debut,E$3&lt;=st_cumul_energie_fin),st_cumul_energie_mult,1)</f>
        <v/>
      </c>
      <c r="F13" s="17">
        <f>(bud_chauffage_S2+bud_hors_gel_S2+bud_electricite_S2)*F7*IF(AND(F$3&gt;=st_cumul_energie_debut,F$3&lt;=st_cumul_energie_fin),st_cumul_energie_mult,1)</f>
        <v/>
      </c>
      <c r="G13" s="17">
        <f>(bud_chauffage_S2+bud_hors_gel_S2+bud_electricite_S2)*G7*IF(AND(G$3&gt;=st_cumul_energie_debut,G$3&lt;=st_cumul_energie_fin),st_cumul_energie_mult,1)</f>
        <v/>
      </c>
      <c r="H13" s="17">
        <f>(bud_chauffage_S2+bud_hors_gel_S2+bud_electricite_S2)*H7*IF(AND(H$3&gt;=st_cumul_energie_debut,H$3&lt;=st_cumul_energie_fin),st_cumul_energie_mult,1)</f>
        <v/>
      </c>
      <c r="I13" s="17">
        <f>(bud_chauffage_S2+bud_hors_gel_S2+bud_electricite_S2)*I7*IF(AND(I$3&gt;=st_cumul_energie_debut,I$3&lt;=st_cumul_energie_fin),st_cumul_energie_mult,1)</f>
        <v/>
      </c>
      <c r="J13" s="17">
        <f>(bud_chauffage_S2+bud_hors_gel_S2+bud_electricite_S2)*J7*IF(AND(J$3&gt;=st_cumul_energie_debut,J$3&lt;=st_cumul_energie_fin),st_cumul_energie_mult,1)</f>
        <v/>
      </c>
      <c r="K13" s="17">
        <f>(bud_chauffage_S2+bud_hors_gel_S2+bud_electricite_S2)*K7*IF(AND(K$3&gt;=st_cumul_energie_debut,K$3&lt;=st_cumul_energie_fin),st_cumul_energie_mult,1)</f>
        <v/>
      </c>
      <c r="L13" s="17">
        <f>(bud_chauffage_S2+bud_hors_gel_S2+bud_electricite_S2)*L7*IF(AND(L$3&gt;=st_cumul_energie_debut,L$3&lt;=st_cumul_energie_fin),st_cumul_energie_mult,1)</f>
        <v/>
      </c>
      <c r="M13" s="17">
        <f>(bud_chauffage_S2+bud_hors_gel_S2+bud_electricite_S2)*M7*IF(AND(M$3&gt;=st_cumul_energie_debut,M$3&lt;=st_cumul_energie_fin),st_cumul_energie_mult,1)</f>
        <v/>
      </c>
      <c r="N13" s="17">
        <f>(bud_chauffage_S2+bud_hors_gel_S2+bud_electricite_S2)*N7*IF(AND(N$3&gt;=st_cumul_energie_debut,N$3&lt;=st_cumul_energie_fin),st_cumul_energie_mult,1)</f>
        <v/>
      </c>
      <c r="O13" s="17">
        <f>(bud_chauffage_S2+bud_hors_gel_S2+bud_electricite_S2)*O7*IF(AND(O$3&gt;=st_cumul_energie_debut,O$3&lt;=st_cumul_energie_fin),st_cumul_energie_mult,1)</f>
        <v/>
      </c>
      <c r="P13" s="17">
        <f>(bud_chauffage_S2+bud_hors_gel_S2+bud_electricite_S2)*P7*IF(AND(P$3&gt;=st_cumul_energie_debut,P$3&lt;=st_cumul_energie_fin),st_cumul_energie_mult,1)</f>
        <v/>
      </c>
      <c r="Q13" s="17">
        <f>(bud_chauffage_S2+bud_hors_gel_S2+bud_electricite_S2)*Q7*IF(AND(Q$3&gt;=st_cumul_energie_debut,Q$3&lt;=st_cumul_energie_fin),st_cumul_energie_mult,1)</f>
        <v/>
      </c>
      <c r="R13" s="17">
        <f>(bud_chauffage_S2+bud_hors_gel_S2+bud_electricite_S2)*R7*IF(AND(R$3&gt;=st_cumul_energie_debut,R$3&lt;=st_cumul_energie_fin),st_cumul_energie_mult,1)</f>
        <v/>
      </c>
      <c r="S13" s="17">
        <f>(bud_chauffage_S2+bud_hors_gel_S2+bud_electricite_S2)*S7*IF(AND(S$3&gt;=st_cumul_energie_debut,S$3&lt;=st_cumul_energie_fin),st_cumul_energie_mult,1)</f>
        <v/>
      </c>
      <c r="T13" s="17">
        <f>(bud_chauffage_S2+bud_hors_gel_S2+bud_electricite_S2)*T7*IF(AND(T$3&gt;=st_cumul_energie_debut,T$3&lt;=st_cumul_energie_fin),st_cumul_energie_mult,1)</f>
        <v/>
      </c>
      <c r="U13" s="17">
        <f>(bud_chauffage_S2+bud_hors_gel_S2+bud_electricite_S2)*U7*IF(AND(U$3&gt;=st_cumul_energie_debut,U$3&lt;=st_cumul_energie_fin),st_cumul_energie_mult,1)</f>
        <v/>
      </c>
      <c r="V13" s="17">
        <f>(bud_chauffage_S2+bud_hors_gel_S2+bud_electricite_S2)*V7*IF(AND(V$3&gt;=st_cumul_energie_debut,V$3&lt;=st_cumul_energie_fin),st_cumul_energie_mult,1)</f>
        <v/>
      </c>
      <c r="W13" s="17">
        <f>(bud_chauffage_S2+bud_hors_gel_S2+bud_electricite_S2)*W7*IF(AND(W$3&gt;=st_cumul_energie_debut,W$3&lt;=st_cumul_energie_fin),st_cumul_energie_mult,1)</f>
        <v/>
      </c>
      <c r="X13" s="17">
        <f>(bud_chauffage_S2+bud_hors_gel_S2+bud_electricite_S2)*X7*IF(AND(X$3&gt;=st_cumul_energie_debut,X$3&lt;=st_cumul_energie_fin),st_cumul_energie_mult,1)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IF(MOD(E$3,campagne_periode)=0,(D20+E15)*st_cumul_mult_campagne*(1-E11*flex_report),0)</f>
        <v/>
      </c>
      <c r="F17" s="17">
        <f>IF(MOD(F$3,campagne_periode)=0,(E20+F15)*st_cumul_mult_campagne*(1-F11*flex_report),0)</f>
        <v/>
      </c>
      <c r="G17" s="17">
        <f>IF(MOD(G$3,campagne_periode)=0,(F20+G15)*st_cumul_mult_campagne*(1-G11*flex_report),0)</f>
        <v/>
      </c>
      <c r="H17" s="17">
        <f>IF(MOD(H$3,campagne_periode)=0,(G20+H15)*st_cumul_mult_campagne*(1-H11*flex_report),0)</f>
        <v/>
      </c>
      <c r="I17" s="17">
        <f>IF(MOD(I$3,campagne_periode)=0,(H20+I15)*st_cumul_mult_campagne*(1-I11*flex_report),0)</f>
        <v/>
      </c>
      <c r="J17" s="17">
        <f>IF(MOD(J$3,campagne_periode)=0,(I20+J15)*st_cumul_mult_campagne*(1-J11*flex_report),0)</f>
        <v/>
      </c>
      <c r="K17" s="17">
        <f>IF(MOD(K$3,campagne_periode)=0,(J20+K15)*st_cumul_mult_campagne*(1-K11*flex_report),0)</f>
        <v/>
      </c>
      <c r="L17" s="17">
        <f>IF(MOD(L$3,campagne_periode)=0,(K20+L15)*st_cumul_mult_campagne*(1-L11*flex_report),0)</f>
        <v/>
      </c>
      <c r="M17" s="17">
        <f>IF(MOD(M$3,campagne_periode)=0,(L20+M15)*st_cumul_mult_campagne*(1-M11*flex_report),0)</f>
        <v/>
      </c>
      <c r="N17" s="17">
        <f>IF(MOD(N$3,campagne_periode)=0,(M20+N15)*st_cumul_mult_campagne*(1-N11*flex_report),0)</f>
        <v/>
      </c>
      <c r="O17" s="17">
        <f>IF(MOD(O$3,campagne_periode)=0,(N20+O15)*st_cumul_mult_campagne*(1-O11*flex_report),0)</f>
        <v/>
      </c>
      <c r="P17" s="17">
        <f>IF(MOD(P$3,campagne_periode)=0,(O20+P15)*st_cumul_mult_campagne*(1-P11*flex_report),0)</f>
        <v/>
      </c>
      <c r="Q17" s="17">
        <f>IF(MOD(Q$3,campagne_periode)=0,(P20+Q15)*st_cumul_mult_campagne*(1-Q11*flex_report),0)</f>
        <v/>
      </c>
      <c r="R17" s="17">
        <f>IF(MOD(R$3,campagne_periode)=0,(Q20+R15)*st_cumul_mult_campagne*(1-R11*flex_report),0)</f>
        <v/>
      </c>
      <c r="S17" s="17">
        <f>IF(MOD(S$3,campagne_periode)=0,(R20+S15)*st_cumul_mult_campagne*(1-S11*flex_report),0)</f>
        <v/>
      </c>
      <c r="T17" s="17">
        <f>IF(MOD(T$3,campagne_periode)=0,(S20+T15)*st_cumul_mult_campagne*(1-T11*flex_report),0)</f>
        <v/>
      </c>
      <c r="U17" s="17">
        <f>IF(MOD(U$3,campagne_periode)=0,(T20+U15)*st_cumul_mult_campagne*(1-U11*flex_report),0)</f>
        <v/>
      </c>
      <c r="V17" s="17">
        <f>IF(MOD(V$3,campagne_periode)=0,(U20+V15)*st_cumul_mult_campagne*(1-V11*flex_report),0)</f>
        <v/>
      </c>
      <c r="W17" s="17">
        <f>IF(MOD(W$3,campagne_periode)=0,(V20+W15)*st_cumul_mult_campagne*(1-W11*flex_report),0)</f>
        <v/>
      </c>
      <c r="X17" s="17">
        <f>IF(MOD(X$3,campagne_periode)=0,(W20+X15)*st_cumul_mult_campagne*(1-X11*flex_report),0)</f>
        <v/>
      </c>
    </row>
    <row r="18">
      <c r="A18" s="2" t="inlineStr">
        <is>
          <t>choc_trav</t>
        </is>
      </c>
      <c r="B18" s="2" t="inlineStr">
        <is>
          <t>Sinistre ou découverte non assurés</t>
        </is>
      </c>
      <c r="C18" s="2" t="inlineStr">
        <is>
          <t>€ 2026</t>
        </is>
      </c>
      <c r="E18" s="17">
        <f>IF(E$3=st_cumul_choc_trav_an,st_cumul_choc_trav_montant,0)</f>
        <v/>
      </c>
      <c r="F18" s="17">
        <f>IF(F$3=st_cumul_choc_trav_an,st_cumul_choc_trav_montant,0)</f>
        <v/>
      </c>
      <c r="G18" s="17">
        <f>IF(G$3=st_cumul_choc_trav_an,st_cumul_choc_trav_montant,0)</f>
        <v/>
      </c>
      <c r="H18" s="17">
        <f>IF(H$3=st_cumul_choc_trav_an,st_cumul_choc_trav_montant,0)</f>
        <v/>
      </c>
      <c r="I18" s="17">
        <f>IF(I$3=st_cumul_choc_trav_an,st_cumul_choc_trav_montant,0)</f>
        <v/>
      </c>
      <c r="J18" s="17">
        <f>IF(J$3=st_cumul_choc_trav_an,st_cumul_choc_trav_montant,0)</f>
        <v/>
      </c>
      <c r="K18" s="17">
        <f>IF(K$3=st_cumul_choc_trav_an,st_cumul_choc_trav_montant,0)</f>
        <v/>
      </c>
      <c r="L18" s="17">
        <f>IF(L$3=st_cumul_choc_trav_an,st_cumul_choc_trav_montant,0)</f>
        <v/>
      </c>
      <c r="M18" s="17">
        <f>IF(M$3=st_cumul_choc_trav_an,st_cumul_choc_trav_montant,0)</f>
        <v/>
      </c>
      <c r="N18" s="17">
        <f>IF(N$3=st_cumul_choc_trav_an,st_cumul_choc_trav_montant,0)</f>
        <v/>
      </c>
      <c r="O18" s="17">
        <f>IF(O$3=st_cumul_choc_trav_an,st_cumul_choc_trav_montant,0)</f>
        <v/>
      </c>
      <c r="P18" s="17">
        <f>IF(P$3=st_cumul_choc_trav_an,st_cumul_choc_trav_montant,0)</f>
        <v/>
      </c>
      <c r="Q18" s="17">
        <f>IF(Q$3=st_cumul_choc_trav_an,st_cumul_choc_trav_montant,0)</f>
        <v/>
      </c>
      <c r="R18" s="17">
        <f>IF(R$3=st_cumul_choc_trav_an,st_cumul_choc_trav_montant,0)</f>
        <v/>
      </c>
      <c r="S18" s="17">
        <f>IF(S$3=st_cumul_choc_trav_an,st_cumul_choc_trav_montant,0)</f>
        <v/>
      </c>
      <c r="T18" s="17">
        <f>IF(T$3=st_cumul_choc_trav_an,st_cumul_choc_trav_montant,0)</f>
        <v/>
      </c>
      <c r="U18" s="17">
        <f>IF(U$3=st_cumul_choc_trav_an,st_cumul_choc_trav_montant,0)</f>
        <v/>
      </c>
      <c r="V18" s="17">
        <f>IF(V$3=st_cumul_choc_trav_an,st_cumul_choc_trav_montant,0)</f>
        <v/>
      </c>
      <c r="W18" s="17">
        <f>IF(W$3=st_cumul_choc_trav_an,st_cumul_choc_trav_montant,0)</f>
        <v/>
      </c>
      <c r="X18" s="17">
        <f>IF(X$3=st_cumul_choc_trav_an,st_cumul_choc_trav_montant,0)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(S2_ech_log*mot_log_cn+S2_ech_stock*mot_stock_cn+S2_ech_pv*mot_pv_cn+S2_ech_bois*mot_bois_cn)*E22*E8*IF(E$3&gt;=st_cumul_debut_mult,st_cumul_mult_A,1)*IF(E10=1,1-0.05,IF(E10=2,1-0.02,1))</f>
        <v/>
      </c>
      <c r="F23" s="17">
        <f>(S2_ech_log*mot_log_cn+S2_ech_stock*mot_stock_cn+S2_ech_pv*mot_pv_cn+S2_ech_bois*mot_bois_cn)*F22*F8*IF(F$3&gt;=st_cumul_debut_mult,st_cumul_mult_A,1)*IF(F10=1,1-0.05,IF(F10=2,1-0.02,1))</f>
        <v/>
      </c>
      <c r="G23" s="17">
        <f>(S2_ech_log*mot_log_cn+S2_ech_stock*mot_stock_cn+S2_ech_pv*mot_pv_cn+S2_ech_bois*mot_bois_cn)*G22*G8*IF(G$3&gt;=st_cumul_debut_mult,st_cumul_mult_A,1)*IF(G10=1,1-0.05,IF(G10=2,1-0.02,1))</f>
        <v/>
      </c>
      <c r="H23" s="17">
        <f>(S2_ech_log*mot_log_cn+S2_ech_stock*mot_stock_cn+S2_ech_pv*mot_pv_cn+S2_ech_bois*mot_bois_cn)*H22*H8*IF(H$3&gt;=st_cumul_debut_mult,st_cumul_mult_A,1)*IF(H10=1,1-0.05,IF(H10=2,1-0.02,1))</f>
        <v/>
      </c>
      <c r="I23" s="17">
        <f>(S2_ech_log*mot_log_cn+S2_ech_stock*mot_stock_cn+S2_ech_pv*mot_pv_cn+S2_ech_bois*mot_bois_cn)*I22*I8*IF(I$3&gt;=st_cumul_debut_mult,st_cumul_mult_A,1)*IF(I10=1,1-0.05,IF(I10=2,1-0.02,1))</f>
        <v/>
      </c>
      <c r="J23" s="17">
        <f>(S2_ech_log*mot_log_cn+S2_ech_stock*mot_stock_cn+S2_ech_pv*mot_pv_cn+S2_ech_bois*mot_bois_cn)*J22*J8*IF(J$3&gt;=st_cumul_debut_mult,st_cumul_mult_A,1)*IF(J10=1,1-0.05,IF(J10=2,1-0.02,1))</f>
        <v/>
      </c>
      <c r="K23" s="17">
        <f>(S2_ech_log*mot_log_cn+S2_ech_stock*mot_stock_cn+S2_ech_pv*mot_pv_cn+S2_ech_bois*mot_bois_cn)*K22*K8*IF(K$3&gt;=st_cumul_debut_mult,st_cumul_mult_A,1)*IF(K10=1,1-0.05,IF(K10=2,1-0.02,1))</f>
        <v/>
      </c>
      <c r="L23" s="17">
        <f>(S2_ech_log*mot_log_cn+S2_ech_stock*mot_stock_cn+S2_ech_pv*mot_pv_cn+S2_ech_bois*mot_bois_cn)*L22*L8*IF(L$3&gt;=st_cumul_debut_mult,st_cumul_mult_A,1)*IF(L10=1,1-0.05,IF(L10=2,1-0.02,1))</f>
        <v/>
      </c>
      <c r="M23" s="17">
        <f>(S2_ech_log*mot_log_cn+S2_ech_stock*mot_stock_cn+S2_ech_pv*mot_pv_cn+S2_ech_bois*mot_bois_cn)*M22*M8*IF(M$3&gt;=st_cumul_debut_mult,st_cumul_mult_A,1)*IF(M10=1,1-0.05,IF(M10=2,1-0.02,1))</f>
        <v/>
      </c>
      <c r="N23" s="17">
        <f>(S2_ech_log*mot_log_cn+S2_ech_stock*mot_stock_cn+S2_ech_pv*mot_pv_cn+S2_ech_bois*mot_bois_cn)*N22*N8*IF(N$3&gt;=st_cumul_debut_mult,st_cumul_mult_A,1)*IF(N10=1,1-0.05,IF(N10=2,1-0.02,1))</f>
        <v/>
      </c>
      <c r="O23" s="17">
        <f>(S2_ech_log*mot_log_cn+S2_ech_stock*mot_stock_cn+S2_ech_pv*mot_pv_cn+S2_ech_bois*mot_bois_cn)*O22*O8*IF(O$3&gt;=st_cumul_debut_mult,st_cumul_mult_A,1)*IF(O10=1,1-0.05,IF(O10=2,1-0.02,1))</f>
        <v/>
      </c>
      <c r="P23" s="17">
        <f>(S2_ech_log*mot_log_cn+S2_ech_stock*mot_stock_cn+S2_ech_pv*mot_pv_cn+S2_ech_bois*mot_bois_cn)*P22*P8*IF(P$3&gt;=st_cumul_debut_mult,st_cumul_mult_A,1)*IF(P10=1,1-0.05,IF(P10=2,1-0.02,1))</f>
        <v/>
      </c>
      <c r="Q23" s="17">
        <f>(S2_ech_log*mot_log_cn+S2_ech_stock*mot_stock_cn+S2_ech_pv*mot_pv_cn+S2_ech_bois*mot_bois_cn)*Q22*Q8*IF(Q$3&gt;=st_cumul_debut_mult,st_cumul_mult_A,1)*IF(Q10=1,1-0.05,IF(Q10=2,1-0.02,1))</f>
        <v/>
      </c>
      <c r="R23" s="17">
        <f>(S2_ech_log*mot_log_cn+S2_ech_stock*mot_stock_cn+S2_ech_pv*mot_pv_cn+S2_ech_bois*mot_bois_cn)*R22*R8*IF(R$3&gt;=st_cumul_debut_mult,st_cumul_mult_A,1)*IF(R10=1,1-0.05,IF(R10=2,1-0.02,1))</f>
        <v/>
      </c>
      <c r="S23" s="17">
        <f>(S2_ech_log*mot_log_cn+S2_ech_stock*mot_stock_cn+S2_ech_pv*mot_pv_cn+S2_ech_bois*mot_bois_cn)*S22*S8*IF(S$3&gt;=st_cumul_debut_mult,st_cumul_mult_A,1)*IF(S10=1,1-0.05,IF(S10=2,1-0.02,1))</f>
        <v/>
      </c>
      <c r="T23" s="17">
        <f>(S2_ech_log*mot_log_cn+S2_ech_stock*mot_stock_cn+S2_ech_pv*mot_pv_cn+S2_ech_bois*mot_bois_cn)*T22*T8*IF(T$3&gt;=st_cumul_debut_mult,st_cumul_mult_A,1)*IF(T10=1,1-0.05,IF(T10=2,1-0.02,1))</f>
        <v/>
      </c>
      <c r="U23" s="17">
        <f>(S2_ech_log*mot_log_cn+S2_ech_stock*mot_stock_cn+S2_ech_pv*mot_pv_cn+S2_ech_bois*mot_bois_cn)*U22*U8*IF(U$3&gt;=st_cumul_debut_mult,st_cumul_mult_A,1)*IF(U10=1,1-0.05,IF(U10=2,1-0.02,1))</f>
        <v/>
      </c>
      <c r="V23" s="17">
        <f>(S2_ech_log*mot_log_cn+S2_ech_stock*mot_stock_cn+S2_ech_pv*mot_pv_cn+S2_ech_bois*mot_bois_cn)*V22*V8*IF(V$3&gt;=st_cumul_debut_mult,st_cumul_mult_A,1)*IF(V10=1,1-0.05,IF(V10=2,1-0.02,1))</f>
        <v/>
      </c>
      <c r="W23" s="17">
        <f>(S2_ech_log*mot_log_cn+S2_ech_stock*mot_stock_cn+S2_ech_pv*mot_pv_cn+S2_ech_bois*mot_bois_cn)*W22*W8*IF(W$3&gt;=st_cumul_debut_mult,st_cumul_mult_A,1)*IF(W10=1,1-0.05,IF(W10=2,1-0.02,1))</f>
        <v/>
      </c>
      <c r="X23" s="17">
        <f>(S2_ech_log*mot_log_cn+S2_ech_stock*mot_stock_cn+S2_ech_pv*mot_pv_cn+S2_ech_bois*mot_bois_cn)*X22*X8*IF(X$3&gt;=st_cumul_debut_mult,st_cumul_mult_A,1)*IF(X10=1,1-0.05,IF(X10=2,1-0.02,1))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(S2_ech_eq_std*mot_eq_std_cn+S2_ech_eq_ret*mot_eq_ret_cn)*E22*E8*IF(E$3&gt;=st_cumul_debut_mult,st_cumul_mult_B,1)*IF(E10=1,1-0.15,IF(E10=2,1-0.05,1))</f>
        <v/>
      </c>
      <c r="F24" s="17">
        <f>(S2_ech_eq_std*mot_eq_std_cn+S2_ech_eq_ret*mot_eq_ret_cn)*F22*F8*IF(F$3&gt;=st_cumul_debut_mult,st_cumul_mult_B,1)*IF(F10=1,1-0.15,IF(F10=2,1-0.05,1))</f>
        <v/>
      </c>
      <c r="G24" s="17">
        <f>(S2_ech_eq_std*mot_eq_std_cn+S2_ech_eq_ret*mot_eq_ret_cn)*G22*G8*IF(G$3&gt;=st_cumul_debut_mult,st_cumul_mult_B,1)*IF(G10=1,1-0.15,IF(G10=2,1-0.05,1))</f>
        <v/>
      </c>
      <c r="H24" s="17">
        <f>(S2_ech_eq_std*mot_eq_std_cn+S2_ech_eq_ret*mot_eq_ret_cn)*H22*H8*IF(H$3&gt;=st_cumul_debut_mult,st_cumul_mult_B,1)*IF(H10=1,1-0.15,IF(H10=2,1-0.05,1))</f>
        <v/>
      </c>
      <c r="I24" s="17">
        <f>(S2_ech_eq_std*mot_eq_std_cn+S2_ech_eq_ret*mot_eq_ret_cn)*I22*I8*IF(I$3&gt;=st_cumul_debut_mult,st_cumul_mult_B,1)*IF(I10=1,1-0.15,IF(I10=2,1-0.05,1))</f>
        <v/>
      </c>
      <c r="J24" s="17">
        <f>(S2_ech_eq_std*mot_eq_std_cn+S2_ech_eq_ret*mot_eq_ret_cn)*J22*J8*IF(J$3&gt;=st_cumul_debut_mult,st_cumul_mult_B,1)*IF(J10=1,1-0.15,IF(J10=2,1-0.05,1))</f>
        <v/>
      </c>
      <c r="K24" s="17">
        <f>(S2_ech_eq_std*mot_eq_std_cn+S2_ech_eq_ret*mot_eq_ret_cn)*K22*K8*IF(K$3&gt;=st_cumul_debut_mult,st_cumul_mult_B,1)*IF(K10=1,1-0.15,IF(K10=2,1-0.05,1))</f>
        <v/>
      </c>
      <c r="L24" s="17">
        <f>(S2_ech_eq_std*mot_eq_std_cn+S2_ech_eq_ret*mot_eq_ret_cn)*L22*L8*IF(L$3&gt;=st_cumul_debut_mult,st_cumul_mult_B,1)*IF(L10=1,1-0.15,IF(L10=2,1-0.05,1))</f>
        <v/>
      </c>
      <c r="M24" s="17">
        <f>(S2_ech_eq_std*mot_eq_std_cn+S2_ech_eq_ret*mot_eq_ret_cn)*M22*M8*IF(M$3&gt;=st_cumul_debut_mult,st_cumul_mult_B,1)*IF(M10=1,1-0.15,IF(M10=2,1-0.05,1))</f>
        <v/>
      </c>
      <c r="N24" s="17">
        <f>(S2_ech_eq_std*mot_eq_std_cn+S2_ech_eq_ret*mot_eq_ret_cn)*N22*N8*IF(N$3&gt;=st_cumul_debut_mult,st_cumul_mult_B,1)*IF(N10=1,1-0.15,IF(N10=2,1-0.05,1))</f>
        <v/>
      </c>
      <c r="O24" s="17">
        <f>(S2_ech_eq_std*mot_eq_std_cn+S2_ech_eq_ret*mot_eq_ret_cn)*O22*O8*IF(O$3&gt;=st_cumul_debut_mult,st_cumul_mult_B,1)*IF(O10=1,1-0.15,IF(O10=2,1-0.05,1))</f>
        <v/>
      </c>
      <c r="P24" s="17">
        <f>(S2_ech_eq_std*mot_eq_std_cn+S2_ech_eq_ret*mot_eq_ret_cn)*P22*P8*IF(P$3&gt;=st_cumul_debut_mult,st_cumul_mult_B,1)*IF(P10=1,1-0.15,IF(P10=2,1-0.05,1))</f>
        <v/>
      </c>
      <c r="Q24" s="17">
        <f>(S2_ech_eq_std*mot_eq_std_cn+S2_ech_eq_ret*mot_eq_ret_cn)*Q22*Q8*IF(Q$3&gt;=st_cumul_debut_mult,st_cumul_mult_B,1)*IF(Q10=1,1-0.15,IF(Q10=2,1-0.05,1))</f>
        <v/>
      </c>
      <c r="R24" s="17">
        <f>(S2_ech_eq_std*mot_eq_std_cn+S2_ech_eq_ret*mot_eq_ret_cn)*R22*R8*IF(R$3&gt;=st_cumul_debut_mult,st_cumul_mult_B,1)*IF(R10=1,1-0.15,IF(R10=2,1-0.05,1))</f>
        <v/>
      </c>
      <c r="S24" s="17">
        <f>(S2_ech_eq_std*mot_eq_std_cn+S2_ech_eq_ret*mot_eq_ret_cn)*S22*S8*IF(S$3&gt;=st_cumul_debut_mult,st_cumul_mult_B,1)*IF(S10=1,1-0.15,IF(S10=2,1-0.05,1))</f>
        <v/>
      </c>
      <c r="T24" s="17">
        <f>(S2_ech_eq_std*mot_eq_std_cn+S2_ech_eq_ret*mot_eq_ret_cn)*T22*T8*IF(T$3&gt;=st_cumul_debut_mult,st_cumul_mult_B,1)*IF(T10=1,1-0.15,IF(T10=2,1-0.05,1))</f>
        <v/>
      </c>
      <c r="U24" s="17">
        <f>(S2_ech_eq_std*mot_eq_std_cn+S2_ech_eq_ret*mot_eq_ret_cn)*U22*U8*IF(U$3&gt;=st_cumul_debut_mult,st_cumul_mult_B,1)*IF(U10=1,1-0.15,IF(U10=2,1-0.05,1))</f>
        <v/>
      </c>
      <c r="V24" s="17">
        <f>(S2_ech_eq_std*mot_eq_std_cn+S2_ech_eq_ret*mot_eq_ret_cn)*V22*V8*IF(V$3&gt;=st_cumul_debut_mult,st_cumul_mult_B,1)*IF(V10=1,1-0.15,IF(V10=2,1-0.05,1))</f>
        <v/>
      </c>
      <c r="W24" s="17">
        <f>(S2_ech_eq_std*mot_eq_std_cn+S2_ech_eq_ret*mot_eq_ret_cn)*W22*W8*IF(W$3&gt;=st_cumul_debut_mult,st_cumul_mult_B,1)*IF(W10=1,1-0.15,IF(W10=2,1-0.05,1))</f>
        <v/>
      </c>
      <c r="X24" s="17">
        <f>(S2_ech_eq_std*mot_eq_std_cn+S2_ech_eq_ret*mot_eq_ret_cn)*X22*X8*IF(X$3&gt;=st_cumul_debut_mult,st_cumul_mult_B,1)*IF(X10=1,1-0.15,IF(X10=2,1-0.05,1))</f>
        <v/>
      </c>
    </row>
    <row r="25">
      <c r="A25" s="2" t="inlineStr">
        <is>
          <t>act_C</t>
        </is>
      </c>
      <c r="B25" s="2" t="inlineStr">
        <is>
          <t>Contribution des activités occasionnelles (classe C)</t>
        </is>
      </c>
      <c r="C25" s="2" t="inlineStr">
        <is>
          <t>€ 2026</t>
        </is>
      </c>
      <c r="E25" s="17">
        <f>(S2_ech_tourn*mot_tourn_cn)*E22*E8*IF(E$3&gt;=st_cumul_debut_mult,st_cumul_mult_C,1)*IF(E10=1,1-0.8,IF(E10=2,1-0.3,1))</f>
        <v/>
      </c>
      <c r="F25" s="17">
        <f>(S2_ech_tourn*mot_tourn_cn)*F22*F8*IF(F$3&gt;=st_cumul_debut_mult,st_cumul_mult_C,1)*IF(F10=1,1-0.8,IF(F10=2,1-0.3,1))</f>
        <v/>
      </c>
      <c r="G25" s="17">
        <f>(S2_ech_tourn*mot_tourn_cn)*G22*G8*IF(G$3&gt;=st_cumul_debut_mult,st_cumul_mult_C,1)*IF(G10=1,1-0.8,IF(G10=2,1-0.3,1))</f>
        <v/>
      </c>
      <c r="H25" s="17">
        <f>(S2_ech_tourn*mot_tourn_cn)*H22*H8*IF(H$3&gt;=st_cumul_debut_mult,st_cumul_mult_C,1)*IF(H10=1,1-0.8,IF(H10=2,1-0.3,1))</f>
        <v/>
      </c>
      <c r="I25" s="17">
        <f>(S2_ech_tourn*mot_tourn_cn)*I22*I8*IF(I$3&gt;=st_cumul_debut_mult,st_cumul_mult_C,1)*IF(I10=1,1-0.8,IF(I10=2,1-0.3,1))</f>
        <v/>
      </c>
      <c r="J25" s="17">
        <f>(S2_ech_tourn*mot_tourn_cn)*J22*J8*IF(J$3&gt;=st_cumul_debut_mult,st_cumul_mult_C,1)*IF(J10=1,1-0.8,IF(J10=2,1-0.3,1))</f>
        <v/>
      </c>
      <c r="K25" s="17">
        <f>(S2_ech_tourn*mot_tourn_cn)*K22*K8*IF(K$3&gt;=st_cumul_debut_mult,st_cumul_mult_C,1)*IF(K10=1,1-0.8,IF(K10=2,1-0.3,1))</f>
        <v/>
      </c>
      <c r="L25" s="17">
        <f>(S2_ech_tourn*mot_tourn_cn)*L22*L8*IF(L$3&gt;=st_cumul_debut_mult,st_cumul_mult_C,1)*IF(L10=1,1-0.8,IF(L10=2,1-0.3,1))</f>
        <v/>
      </c>
      <c r="M25" s="17">
        <f>(S2_ech_tourn*mot_tourn_cn)*M22*M8*IF(M$3&gt;=st_cumul_debut_mult,st_cumul_mult_C,1)*IF(M10=1,1-0.8,IF(M10=2,1-0.3,1))</f>
        <v/>
      </c>
      <c r="N25" s="17">
        <f>(S2_ech_tourn*mot_tourn_cn)*N22*N8*IF(N$3&gt;=st_cumul_debut_mult,st_cumul_mult_C,1)*IF(N10=1,1-0.8,IF(N10=2,1-0.3,1))</f>
        <v/>
      </c>
      <c r="O25" s="17">
        <f>(S2_ech_tourn*mot_tourn_cn)*O22*O8*IF(O$3&gt;=st_cumul_debut_mult,st_cumul_mult_C,1)*IF(O10=1,1-0.8,IF(O10=2,1-0.3,1))</f>
        <v/>
      </c>
      <c r="P25" s="17">
        <f>(S2_ech_tourn*mot_tourn_cn)*P22*P8*IF(P$3&gt;=st_cumul_debut_mult,st_cumul_mult_C,1)*IF(P10=1,1-0.8,IF(P10=2,1-0.3,1))</f>
        <v/>
      </c>
      <c r="Q25" s="17">
        <f>(S2_ech_tourn*mot_tourn_cn)*Q22*Q8*IF(Q$3&gt;=st_cumul_debut_mult,st_cumul_mult_C,1)*IF(Q10=1,1-0.8,IF(Q10=2,1-0.3,1))</f>
        <v/>
      </c>
      <c r="R25" s="17">
        <f>(S2_ech_tourn*mot_tourn_cn)*R22*R8*IF(R$3&gt;=st_cumul_debut_mult,st_cumul_mult_C,1)*IF(R10=1,1-0.8,IF(R10=2,1-0.3,1))</f>
        <v/>
      </c>
      <c r="S25" s="17">
        <f>(S2_ech_tourn*mot_tourn_cn)*S22*S8*IF(S$3&gt;=st_cumul_debut_mult,st_cumul_mult_C,1)*IF(S10=1,1-0.8,IF(S10=2,1-0.3,1))</f>
        <v/>
      </c>
      <c r="T25" s="17">
        <f>(S2_ech_tourn*mot_tourn_cn)*T22*T8*IF(T$3&gt;=st_cumul_debut_mult,st_cumul_mult_C,1)*IF(T10=1,1-0.8,IF(T10=2,1-0.3,1))</f>
        <v/>
      </c>
      <c r="U25" s="17">
        <f>(S2_ech_tourn*mot_tourn_cn)*U22*U8*IF(U$3&gt;=st_cumul_debut_mult,st_cumul_mult_C,1)*IF(U10=1,1-0.8,IF(U10=2,1-0.3,1))</f>
        <v/>
      </c>
      <c r="V25" s="17">
        <f>(S2_ech_tourn*mot_tourn_cn)*V22*V8*IF(V$3&gt;=st_cumul_debut_mult,st_cumul_mult_C,1)*IF(V10=1,1-0.8,IF(V10=2,1-0.3,1))</f>
        <v/>
      </c>
      <c r="W25" s="17">
        <f>(S2_ech_tourn*mot_tourn_cn)*W22*W8*IF(W$3&gt;=st_cumul_debut_mult,st_cumul_mult_C,1)*IF(W10=1,1-0.8,IF(W10=2,1-0.3,1))</f>
        <v/>
      </c>
      <c r="X25" s="17">
        <f>(S2_ech_tourn*mot_tourn_cn)*X22*X8*IF(X$3&gt;=st_cumul_debut_mult,st_cumul_mult_C,1)*IF(X10=1,1-0.8,IF(X10=2,1-0.3,1))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IF(AND(E$3&lt;=S2_sol_div_annees,E$3&lt;=st_cumul_div_fin),S2_sol_div*IF(E10=1,0.5,1),0)</f>
        <v/>
      </c>
      <c r="F33" s="17">
        <f>IF(AND(F$3&lt;=S2_sol_div_annees,F$3&lt;=st_cumul_div_fin),S2_sol_div*IF(F10=1,0.5,1),0)</f>
        <v/>
      </c>
      <c r="G33" s="17">
        <f>IF(AND(G$3&lt;=S2_sol_div_annees,G$3&lt;=st_cumul_div_fin),S2_sol_div*IF(G10=1,0.5,1),0)</f>
        <v/>
      </c>
      <c r="H33" s="17">
        <f>IF(AND(H$3&lt;=S2_sol_div_annees,H$3&lt;=st_cumul_div_fin),S2_sol_div*IF(H10=1,0.5,1),0)</f>
        <v/>
      </c>
      <c r="I33" s="17">
        <f>IF(AND(I$3&lt;=S2_sol_div_annees,I$3&lt;=st_cumul_div_fin),S2_sol_div*IF(I10=1,0.5,1),0)</f>
        <v/>
      </c>
      <c r="J33" s="17">
        <f>IF(AND(J$3&lt;=S2_sol_div_annees,J$3&lt;=st_cumul_div_fin),S2_sol_div*IF(J10=1,0.5,1),0)</f>
        <v/>
      </c>
      <c r="K33" s="17">
        <f>IF(AND(K$3&lt;=S2_sol_div_annees,K$3&lt;=st_cumul_div_fin),S2_sol_div*IF(K10=1,0.5,1),0)</f>
        <v/>
      </c>
      <c r="L33" s="17">
        <f>IF(AND(L$3&lt;=S2_sol_div_annees,L$3&lt;=st_cumul_div_fin),S2_sol_div*IF(L10=1,0.5,1),0)</f>
        <v/>
      </c>
      <c r="M33" s="17">
        <f>IF(AND(M$3&lt;=S2_sol_div_annees,M$3&lt;=st_cumul_div_fin),S2_sol_div*IF(M10=1,0.5,1),0)</f>
        <v/>
      </c>
      <c r="N33" s="17">
        <f>IF(AND(N$3&lt;=S2_sol_div_annees,N$3&lt;=st_cumul_div_fin),S2_sol_div*IF(N10=1,0.5,1),0)</f>
        <v/>
      </c>
      <c r="O33" s="17">
        <f>IF(AND(O$3&lt;=S2_sol_div_annees,O$3&lt;=st_cumul_div_fin),S2_sol_div*IF(O10=1,0.5,1),0)</f>
        <v/>
      </c>
      <c r="P33" s="17">
        <f>IF(AND(P$3&lt;=S2_sol_div_annees,P$3&lt;=st_cumul_div_fin),S2_sol_div*IF(P10=1,0.5,1),0)</f>
        <v/>
      </c>
      <c r="Q33" s="17">
        <f>IF(AND(Q$3&lt;=S2_sol_div_annees,Q$3&lt;=st_cumul_div_fin),S2_sol_div*IF(Q10=1,0.5,1),0)</f>
        <v/>
      </c>
      <c r="R33" s="17">
        <f>IF(AND(R$3&lt;=S2_sol_div_annees,R$3&lt;=st_cumul_div_fin),S2_sol_div*IF(R10=1,0.5,1),0)</f>
        <v/>
      </c>
      <c r="S33" s="17">
        <f>IF(AND(S$3&lt;=S2_sol_div_annees,S$3&lt;=st_cumul_div_fin),S2_sol_div*IF(S10=1,0.5,1),0)</f>
        <v/>
      </c>
      <c r="T33" s="17">
        <f>IF(AND(T$3&lt;=S2_sol_div_annees,T$3&lt;=st_cumul_div_fin),S2_sol_div*IF(T10=1,0.5,1),0)</f>
        <v/>
      </c>
      <c r="U33" s="17">
        <f>IF(AND(U$3&lt;=S2_sol_div_annees,U$3&lt;=st_cumul_div_fin),S2_sol_div*IF(U10=1,0.5,1),0)</f>
        <v/>
      </c>
      <c r="V33" s="17">
        <f>IF(AND(V$3&lt;=S2_sol_div_annees,V$3&lt;=st_cumul_div_fin),S2_sol_div*IF(V10=1,0.5,1),0)</f>
        <v/>
      </c>
      <c r="W33" s="17">
        <f>IF(AND(W$3&lt;=S2_sol_div_annees,W$3&lt;=st_cumul_div_fin),S2_sol_div*IF(W10=1,0.5,1),0)</f>
        <v/>
      </c>
      <c r="X33" s="17">
        <f>IF(AND(X$3&lt;=S2_sol_div_annees,X$3&lt;=st_cumul_div_fin),S2_sol_div*IF(X10=1,0.5,1),0)</f>
        <v/>
      </c>
    </row>
    <row r="34">
      <c r="A34" s="2" t="inlineStr">
        <is>
          <t>rdt_dot</t>
        </is>
      </c>
      <c r="B34" s="2" t="inlineStr">
        <is>
          <t>Rendement réel de la dotation de l'année</t>
        </is>
      </c>
      <c r="C34" s="2" t="inlineStr">
        <is>
          <t>%</t>
        </is>
      </c>
      <c r="E34" s="20">
        <f>dot_rendement+st_cumul_dot_rdt_delta+IF(E10=1,-0.25,0)</f>
        <v/>
      </c>
      <c r="F34" s="20">
        <f>dot_rendement+st_cumul_dot_rdt_delta+IF(F10=1,-0.25,0)</f>
        <v/>
      </c>
      <c r="G34" s="20">
        <f>dot_rendement+st_cumul_dot_rdt_delta+IF(G10=1,-0.25,0)</f>
        <v/>
      </c>
      <c r="H34" s="20">
        <f>dot_rendement+st_cumul_dot_rdt_delta+IF(H10=1,-0.25,0)</f>
        <v/>
      </c>
      <c r="I34" s="20">
        <f>dot_rendement+st_cumul_dot_rdt_delta+IF(I10=1,-0.25,0)</f>
        <v/>
      </c>
      <c r="J34" s="20">
        <f>dot_rendement+st_cumul_dot_rdt_delta+IF(J10=1,-0.25,0)</f>
        <v/>
      </c>
      <c r="K34" s="20">
        <f>dot_rendement+st_cumul_dot_rdt_delta+IF(K10=1,-0.25,0)</f>
        <v/>
      </c>
      <c r="L34" s="20">
        <f>dot_rendement+st_cumul_dot_rdt_delta+IF(L10=1,-0.25,0)</f>
        <v/>
      </c>
      <c r="M34" s="20">
        <f>dot_rendement+st_cumul_dot_rdt_delta+IF(M10=1,-0.25,0)</f>
        <v/>
      </c>
      <c r="N34" s="20">
        <f>dot_rendement+st_cumul_dot_rdt_delta+IF(N10=1,-0.25,0)</f>
        <v/>
      </c>
      <c r="O34" s="20">
        <f>dot_rendement+st_cumul_dot_rdt_delta+IF(O10=1,-0.25,0)</f>
        <v/>
      </c>
      <c r="P34" s="20">
        <f>dot_rendement+st_cumul_dot_rdt_delta+IF(P10=1,-0.25,0)</f>
        <v/>
      </c>
      <c r="Q34" s="20">
        <f>dot_rendement+st_cumul_dot_rdt_delta+IF(Q10=1,-0.25,0)</f>
        <v/>
      </c>
      <c r="R34" s="20">
        <f>dot_rendement+st_cumul_dot_rdt_delta+IF(R10=1,-0.25,0)</f>
        <v/>
      </c>
      <c r="S34" s="20">
        <f>dot_rendement+st_cumul_dot_rdt_delta+IF(S10=1,-0.25,0)</f>
        <v/>
      </c>
      <c r="T34" s="20">
        <f>dot_rendement+st_cumul_dot_rdt_delta+IF(T10=1,-0.25,0)</f>
        <v/>
      </c>
      <c r="U34" s="20">
        <f>dot_rendement+st_cumul_dot_rdt_delta+IF(U10=1,-0.25,0)</f>
        <v/>
      </c>
      <c r="V34" s="20">
        <f>dot_rendement+st_cumul_dot_rdt_delta+IF(V10=1,-0.25,0)</f>
        <v/>
      </c>
      <c r="W34" s="20">
        <f>dot_rendement+st_cumul_dot_rdt_delta+IF(W10=1,-0.25,0)</f>
        <v/>
      </c>
      <c r="X34" s="20">
        <f>dot_rendement+st_cumul_dot_rdt_delta+IF(X10=1,-0.25,0)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S1 — solution recommandée, projection centrale</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D5*(1+g_salaires+st_central_g_sal_extra)</f>
        <v/>
      </c>
      <c r="F5" s="21">
        <f>E5*(1+g_salaires+st_central_g_sal_extra)</f>
        <v/>
      </c>
      <c r="G5" s="21">
        <f>F5*(1+g_salaires+st_central_g_sal_extra)</f>
        <v/>
      </c>
      <c r="H5" s="21">
        <f>G5*(1+g_salaires+st_central_g_sal_extra)</f>
        <v/>
      </c>
      <c r="I5" s="21">
        <f>H5*(1+g_salaires+st_central_g_sal_extra)</f>
        <v/>
      </c>
      <c r="J5" s="21">
        <f>I5*(1+g_salaires+st_central_g_sal_extra)</f>
        <v/>
      </c>
      <c r="K5" s="21">
        <f>J5*(1+g_salaires+st_central_g_sal_extra)</f>
        <v/>
      </c>
      <c r="L5" s="21">
        <f>K5*(1+g_salaires+st_central_g_sal_extra)</f>
        <v/>
      </c>
      <c r="M5" s="21">
        <f>L5*(1+g_salaires+st_central_g_sal_extra)</f>
        <v/>
      </c>
      <c r="N5" s="21">
        <f>M5*(1+g_salaires+st_central_g_sal_extra)</f>
        <v/>
      </c>
      <c r="O5" s="21">
        <f>N5*(1+g_salaires+st_central_g_sal_extra)</f>
        <v/>
      </c>
      <c r="P5" s="21">
        <f>O5*(1+g_salaires+st_central_g_sal_extra)</f>
        <v/>
      </c>
      <c r="Q5" s="21">
        <f>P5*(1+g_salaires+st_central_g_sal_extra)</f>
        <v/>
      </c>
      <c r="R5" s="21">
        <f>Q5*(1+g_salaires+st_central_g_sal_extra)</f>
        <v/>
      </c>
      <c r="S5" s="21">
        <f>R5*(1+g_salaires+st_central_g_sal_extra)</f>
        <v/>
      </c>
      <c r="T5" s="21">
        <f>S5*(1+g_salaires+st_central_g_sal_extra)</f>
        <v/>
      </c>
      <c r="U5" s="21">
        <f>T5*(1+g_salaires+st_central_g_sal_extra)</f>
        <v/>
      </c>
      <c r="V5" s="21">
        <f>U5*(1+g_salaires+st_central_g_sal_extra)</f>
        <v/>
      </c>
      <c r="W5" s="21">
        <f>V5*(1+g_salaires+st_central_g_sal_extra)</f>
        <v/>
      </c>
      <c r="X5" s="21">
        <f>W5*(1+g_salaires+st_central_g_sal_extra)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IF(st_central_crise_an&gt;0,IF(E$3=st_central_crise_an,1,IF(E$3=st_central_crise_an+1,2,0)),0)</f>
        <v/>
      </c>
      <c r="F10" s="21">
        <f>IF(st_central_crise_an&gt;0,IF(F$3=st_central_crise_an,1,IF(F$3=st_central_crise_an+1,2,0)),0)</f>
        <v/>
      </c>
      <c r="G10" s="21">
        <f>IF(st_central_crise_an&gt;0,IF(G$3=st_central_crise_an,1,IF(G$3=st_central_crise_an+1,2,0)),0)</f>
        <v/>
      </c>
      <c r="H10" s="21">
        <f>IF(st_central_crise_an&gt;0,IF(H$3=st_central_crise_an,1,IF(H$3=st_central_crise_an+1,2,0)),0)</f>
        <v/>
      </c>
      <c r="I10" s="21">
        <f>IF(st_central_crise_an&gt;0,IF(I$3=st_central_crise_an,1,IF(I$3=st_central_crise_an+1,2,0)),0)</f>
        <v/>
      </c>
      <c r="J10" s="21">
        <f>IF(st_central_crise_an&gt;0,IF(J$3=st_central_crise_an,1,IF(J$3=st_central_crise_an+1,2,0)),0)</f>
        <v/>
      </c>
      <c r="K10" s="21">
        <f>IF(st_central_crise_an&gt;0,IF(K$3=st_central_crise_an,1,IF(K$3=st_central_crise_an+1,2,0)),0)</f>
        <v/>
      </c>
      <c r="L10" s="21">
        <f>IF(st_central_crise_an&gt;0,IF(L$3=st_central_crise_an,1,IF(L$3=st_central_crise_an+1,2,0)),0)</f>
        <v/>
      </c>
      <c r="M10" s="21">
        <f>IF(st_central_crise_an&gt;0,IF(M$3=st_central_crise_an,1,IF(M$3=st_central_crise_an+1,2,0)),0)</f>
        <v/>
      </c>
      <c r="N10" s="21">
        <f>IF(st_central_crise_an&gt;0,IF(N$3=st_central_crise_an,1,IF(N$3=st_central_crise_an+1,2,0)),0)</f>
        <v/>
      </c>
      <c r="O10" s="21">
        <f>IF(st_central_crise_an&gt;0,IF(O$3=st_central_crise_an,1,IF(O$3=st_central_crise_an+1,2,0)),0)</f>
        <v/>
      </c>
      <c r="P10" s="21">
        <f>IF(st_central_crise_an&gt;0,IF(P$3=st_central_crise_an,1,IF(P$3=st_central_crise_an+1,2,0)),0)</f>
        <v/>
      </c>
      <c r="Q10" s="21">
        <f>IF(st_central_crise_an&gt;0,IF(Q$3=st_central_crise_an,1,IF(Q$3=st_central_crise_an+1,2,0)),0)</f>
        <v/>
      </c>
      <c r="R10" s="21">
        <f>IF(st_central_crise_an&gt;0,IF(R$3=st_central_crise_an,1,IF(R$3=st_central_crise_an+1,2,0)),0)</f>
        <v/>
      </c>
      <c r="S10" s="21">
        <f>IF(st_central_crise_an&gt;0,IF(S$3=st_central_crise_an,1,IF(S$3=st_central_crise_an+1,2,0)),0)</f>
        <v/>
      </c>
      <c r="T10" s="21">
        <f>IF(st_central_crise_an&gt;0,IF(T$3=st_central_crise_an,1,IF(T$3=st_central_crise_an+1,2,0)),0)</f>
        <v/>
      </c>
      <c r="U10" s="21">
        <f>IF(st_central_crise_an&gt;0,IF(U$3=st_central_crise_an,1,IF(U$3=st_central_crise_an+1,2,0)),0)</f>
        <v/>
      </c>
      <c r="V10" s="21">
        <f>IF(st_central_crise_an&gt;0,IF(V$3=st_central_crise_an,1,IF(V$3=st_central_crise_an+1,2,0)),0)</f>
        <v/>
      </c>
      <c r="W10" s="21">
        <f>IF(st_central_crise_an&gt;0,IF(W$3=st_central_crise_an,1,IF(W$3=st_central_crise_an+1,2,0)),0)</f>
        <v/>
      </c>
      <c r="X10" s="21">
        <f>IF(st_central_crise_an&gt;0,IF(X$3=st_central_crise_an,1,IF(X$3=st_central_crise_an+1,2,0)),0)</f>
        <v/>
      </c>
    </row>
    <row r="11">
      <c r="A11" s="2" t="inlineStr">
        <is>
          <t>tension</t>
        </is>
      </c>
      <c r="B11" s="2" t="inlineStr">
        <is>
          <t>Tension de trésorerie (1 = réserve sous le seuil de pilotage)</t>
        </is>
      </c>
      <c r="C11" s="2" t="inlineStr">
        <is>
          <t>nombre</t>
        </is>
      </c>
      <c r="E11" s="21">
        <f>pilotage_actif*IF(D40&lt;flex_seuil*bud_total_besoin_S1,1,0)</f>
        <v/>
      </c>
      <c r="F11" s="21">
        <f>pilotage_actif*IF(E40&lt;flex_seuil*bud_total_besoin_S1,1,0)</f>
        <v/>
      </c>
      <c r="G11" s="21">
        <f>pilotage_actif*IF(F40&lt;flex_seuil*bud_total_besoin_S1,1,0)</f>
        <v/>
      </c>
      <c r="H11" s="21">
        <f>pilotage_actif*IF(G40&lt;flex_seuil*bud_total_besoin_S1,1,0)</f>
        <v/>
      </c>
      <c r="I11" s="21">
        <f>pilotage_actif*IF(H40&lt;flex_seuil*bud_total_besoin_S1,1,0)</f>
        <v/>
      </c>
      <c r="J11" s="21">
        <f>pilotage_actif*IF(I40&lt;flex_seuil*bud_total_besoin_S1,1,0)</f>
        <v/>
      </c>
      <c r="K11" s="21">
        <f>pilotage_actif*IF(J40&lt;flex_seuil*bud_total_besoin_S1,1,0)</f>
        <v/>
      </c>
      <c r="L11" s="21">
        <f>pilotage_actif*IF(K40&lt;flex_seuil*bud_total_besoin_S1,1,0)</f>
        <v/>
      </c>
      <c r="M11" s="21">
        <f>pilotage_actif*IF(L40&lt;flex_seuil*bud_total_besoin_S1,1,0)</f>
        <v/>
      </c>
      <c r="N11" s="21">
        <f>pilotage_actif*IF(M40&lt;flex_seuil*bud_total_besoin_S1,1,0)</f>
        <v/>
      </c>
      <c r="O11" s="21">
        <f>pilotage_actif*IF(N40&lt;flex_seuil*bud_total_besoin_S1,1,0)</f>
        <v/>
      </c>
      <c r="P11" s="21">
        <f>pilotage_actif*IF(O40&lt;flex_seuil*bud_total_besoin_S1,1,0)</f>
        <v/>
      </c>
      <c r="Q11" s="21">
        <f>pilotage_actif*IF(P40&lt;flex_seuil*bud_total_besoin_S1,1,0)</f>
        <v/>
      </c>
      <c r="R11" s="21">
        <f>pilotage_actif*IF(Q40&lt;flex_seuil*bud_total_besoin_S1,1,0)</f>
        <v/>
      </c>
      <c r="S11" s="21">
        <f>pilotage_actif*IF(R40&lt;flex_seuil*bud_total_besoin_S1,1,0)</f>
        <v/>
      </c>
      <c r="T11" s="21">
        <f>pilotage_actif*IF(S40&lt;flex_seuil*bud_total_besoin_S1,1,0)</f>
        <v/>
      </c>
      <c r="U11" s="21">
        <f>pilotage_actif*IF(T40&lt;flex_seuil*bud_total_besoin_S1,1,0)</f>
        <v/>
      </c>
      <c r="V11" s="21">
        <f>pilotage_actif*IF(U40&lt;flex_seuil*bud_total_besoin_S1,1,0)</f>
        <v/>
      </c>
      <c r="W11" s="21">
        <f>pilotage_actif*IF(V40&lt;flex_seuil*bud_total_besoin_S1,1,0)</f>
        <v/>
      </c>
      <c r="X11" s="21">
        <f>pilotage_actif*IF(W40&lt;flex_seuil*bud_total_besoin_S1,1,0)</f>
        <v/>
      </c>
    </row>
    <row r="12">
      <c r="A12" s="2" t="inlineStr">
        <is>
          <t>b_pers</t>
        </is>
      </c>
      <c r="B12" s="2" t="inlineStr">
        <is>
          <t>Personnel du domaine</t>
        </is>
      </c>
      <c r="C12" s="2" t="inlineStr">
        <is>
          <t>€ 2026</t>
        </is>
      </c>
      <c r="E12" s="17">
        <f>bud_dont_personnel_S1*E5</f>
        <v/>
      </c>
      <c r="F12" s="17">
        <f>bud_dont_personnel_S1*F5</f>
        <v/>
      </c>
      <c r="G12" s="17">
        <f>bud_dont_personnel_S1*G5</f>
        <v/>
      </c>
      <c r="H12" s="17">
        <f>bud_dont_personnel_S1*H5</f>
        <v/>
      </c>
      <c r="I12" s="17">
        <f>bud_dont_personnel_S1*I5</f>
        <v/>
      </c>
      <c r="J12" s="17">
        <f>bud_dont_personnel_S1*J5</f>
        <v/>
      </c>
      <c r="K12" s="17">
        <f>bud_dont_personnel_S1*K5</f>
        <v/>
      </c>
      <c r="L12" s="17">
        <f>bud_dont_personnel_S1*L5</f>
        <v/>
      </c>
      <c r="M12" s="17">
        <f>bud_dont_personnel_S1*M5</f>
        <v/>
      </c>
      <c r="N12" s="17">
        <f>bud_dont_personnel_S1*N5</f>
        <v/>
      </c>
      <c r="O12" s="17">
        <f>bud_dont_personnel_S1*O5</f>
        <v/>
      </c>
      <c r="P12" s="17">
        <f>bud_dont_personnel_S1*P5</f>
        <v/>
      </c>
      <c r="Q12" s="17">
        <f>bud_dont_personnel_S1*Q5</f>
        <v/>
      </c>
      <c r="R12" s="17">
        <f>bud_dont_personnel_S1*R5</f>
        <v/>
      </c>
      <c r="S12" s="17">
        <f>bud_dont_personnel_S1*S5</f>
        <v/>
      </c>
      <c r="T12" s="17">
        <f>bud_dont_personnel_S1*T5</f>
        <v/>
      </c>
      <c r="U12" s="17">
        <f>bud_dont_personnel_S1*U5</f>
        <v/>
      </c>
      <c r="V12" s="17">
        <f>bud_dont_personnel_S1*V5</f>
        <v/>
      </c>
      <c r="W12" s="17">
        <f>bud_dont_personnel_S1*W5</f>
        <v/>
      </c>
      <c r="X12" s="17">
        <f>bud_dont_personnel_S1*X5</f>
        <v/>
      </c>
    </row>
    <row r="13">
      <c r="A13" s="2" t="inlineStr">
        <is>
          <t>b_energie</t>
        </is>
      </c>
      <c r="B13" s="2" t="inlineStr">
        <is>
          <t>Énergie</t>
        </is>
      </c>
      <c r="C13" s="2" t="inlineStr">
        <is>
          <t>€ 2026</t>
        </is>
      </c>
      <c r="E13" s="17">
        <f>(bud_chauffage_S1+bud_hors_gel_S1+bud_electricite_S1)*E7*IF(AND(E$3&gt;=st_central_energie_debut,E$3&lt;=st_central_energie_fin),st_central_energie_mult,1)</f>
        <v/>
      </c>
      <c r="F13" s="17">
        <f>(bud_chauffage_S1+bud_hors_gel_S1+bud_electricite_S1)*F7*IF(AND(F$3&gt;=st_central_energie_debut,F$3&lt;=st_central_energie_fin),st_central_energie_mult,1)</f>
        <v/>
      </c>
      <c r="G13" s="17">
        <f>(bud_chauffage_S1+bud_hors_gel_S1+bud_electricite_S1)*G7*IF(AND(G$3&gt;=st_central_energie_debut,G$3&lt;=st_central_energie_fin),st_central_energie_mult,1)</f>
        <v/>
      </c>
      <c r="H13" s="17">
        <f>(bud_chauffage_S1+bud_hors_gel_S1+bud_electricite_S1)*H7*IF(AND(H$3&gt;=st_central_energie_debut,H$3&lt;=st_central_energie_fin),st_central_energie_mult,1)</f>
        <v/>
      </c>
      <c r="I13" s="17">
        <f>(bud_chauffage_S1+bud_hors_gel_S1+bud_electricite_S1)*I7*IF(AND(I$3&gt;=st_central_energie_debut,I$3&lt;=st_central_energie_fin),st_central_energie_mult,1)</f>
        <v/>
      </c>
      <c r="J13" s="17">
        <f>(bud_chauffage_S1+bud_hors_gel_S1+bud_electricite_S1)*J7*IF(AND(J$3&gt;=st_central_energie_debut,J$3&lt;=st_central_energie_fin),st_central_energie_mult,1)</f>
        <v/>
      </c>
      <c r="K13" s="17">
        <f>(bud_chauffage_S1+bud_hors_gel_S1+bud_electricite_S1)*K7*IF(AND(K$3&gt;=st_central_energie_debut,K$3&lt;=st_central_energie_fin),st_central_energie_mult,1)</f>
        <v/>
      </c>
      <c r="L13" s="17">
        <f>(bud_chauffage_S1+bud_hors_gel_S1+bud_electricite_S1)*L7*IF(AND(L$3&gt;=st_central_energie_debut,L$3&lt;=st_central_energie_fin),st_central_energie_mult,1)</f>
        <v/>
      </c>
      <c r="M13" s="17">
        <f>(bud_chauffage_S1+bud_hors_gel_S1+bud_electricite_S1)*M7*IF(AND(M$3&gt;=st_central_energie_debut,M$3&lt;=st_central_energie_fin),st_central_energie_mult,1)</f>
        <v/>
      </c>
      <c r="N13" s="17">
        <f>(bud_chauffage_S1+bud_hors_gel_S1+bud_electricite_S1)*N7*IF(AND(N$3&gt;=st_central_energie_debut,N$3&lt;=st_central_energie_fin),st_central_energie_mult,1)</f>
        <v/>
      </c>
      <c r="O13" s="17">
        <f>(bud_chauffage_S1+bud_hors_gel_S1+bud_electricite_S1)*O7*IF(AND(O$3&gt;=st_central_energie_debut,O$3&lt;=st_central_energie_fin),st_central_energie_mult,1)</f>
        <v/>
      </c>
      <c r="P13" s="17">
        <f>(bud_chauffage_S1+bud_hors_gel_S1+bud_electricite_S1)*P7*IF(AND(P$3&gt;=st_central_energie_debut,P$3&lt;=st_central_energie_fin),st_central_energie_mult,1)</f>
        <v/>
      </c>
      <c r="Q13" s="17">
        <f>(bud_chauffage_S1+bud_hors_gel_S1+bud_electricite_S1)*Q7*IF(AND(Q$3&gt;=st_central_energie_debut,Q$3&lt;=st_central_energie_fin),st_central_energie_mult,1)</f>
        <v/>
      </c>
      <c r="R13" s="17">
        <f>(bud_chauffage_S1+bud_hors_gel_S1+bud_electricite_S1)*R7*IF(AND(R$3&gt;=st_central_energie_debut,R$3&lt;=st_central_energie_fin),st_central_energie_mult,1)</f>
        <v/>
      </c>
      <c r="S13" s="17">
        <f>(bud_chauffage_S1+bud_hors_gel_S1+bud_electricite_S1)*S7*IF(AND(S$3&gt;=st_central_energie_debut,S$3&lt;=st_central_energie_fin),st_central_energie_mult,1)</f>
        <v/>
      </c>
      <c r="T13" s="17">
        <f>(bud_chauffage_S1+bud_hors_gel_S1+bud_electricite_S1)*T7*IF(AND(T$3&gt;=st_central_energie_debut,T$3&lt;=st_central_energie_fin),st_central_energie_mult,1)</f>
        <v/>
      </c>
      <c r="U13" s="17">
        <f>(bud_chauffage_S1+bud_hors_gel_S1+bud_electricite_S1)*U7*IF(AND(U$3&gt;=st_central_energie_debut,U$3&lt;=st_central_energie_fin),st_central_energie_mult,1)</f>
        <v/>
      </c>
      <c r="V13" s="17">
        <f>(bud_chauffage_S1+bud_hors_gel_S1+bud_electricite_S1)*V7*IF(AND(V$3&gt;=st_central_energie_debut,V$3&lt;=st_central_energie_fin),st_central_energie_mult,1)</f>
        <v/>
      </c>
      <c r="W13" s="17">
        <f>(bud_chauffage_S1+bud_hors_gel_S1+bud_electricite_S1)*W7*IF(AND(W$3&gt;=st_central_energie_debut,W$3&lt;=st_central_energie_fin),st_central_energie_mult,1)</f>
        <v/>
      </c>
      <c r="X13" s="17">
        <f>(bud_chauffage_S1+bud_hors_gel_S1+bud_electricite_S1)*X7*IF(AND(X$3&gt;=st_central_energie_debut,X$3&lt;=st_central_energie_fin),st_central_energie_mult,1)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bud_total_besoin_S1-bud_dont_personnel_S1-bud_bati_ge_S1-bud_imprevus_travaux_S1-bud_chauffage_S1-bud_hors_gel_S1-bud_electricite_S1</f>
        <v/>
      </c>
      <c r="F14" s="17">
        <f>bud_total_besoin_S1-bud_dont_personnel_S1-bud_bati_ge_S1-bud_imprevus_travaux_S1-bud_chauffage_S1-bud_hors_gel_S1-bud_electricite_S1</f>
        <v/>
      </c>
      <c r="G14" s="17">
        <f>bud_total_besoin_S1-bud_dont_personnel_S1-bud_bati_ge_S1-bud_imprevus_travaux_S1-bud_chauffage_S1-bud_hors_gel_S1-bud_electricite_S1</f>
        <v/>
      </c>
      <c r="H14" s="17">
        <f>bud_total_besoin_S1-bud_dont_personnel_S1-bud_bati_ge_S1-bud_imprevus_travaux_S1-bud_chauffage_S1-bud_hors_gel_S1-bud_electricite_S1</f>
        <v/>
      </c>
      <c r="I14" s="17">
        <f>bud_total_besoin_S1-bud_dont_personnel_S1-bud_bati_ge_S1-bud_imprevus_travaux_S1-bud_chauffage_S1-bud_hors_gel_S1-bud_electricite_S1</f>
        <v/>
      </c>
      <c r="J14" s="17">
        <f>bud_total_besoin_S1-bud_dont_personnel_S1-bud_bati_ge_S1-bud_imprevus_travaux_S1-bud_chauffage_S1-bud_hors_gel_S1-bud_electricite_S1</f>
        <v/>
      </c>
      <c r="K14" s="17">
        <f>bud_total_besoin_S1-bud_dont_personnel_S1-bud_bati_ge_S1-bud_imprevus_travaux_S1-bud_chauffage_S1-bud_hors_gel_S1-bud_electricite_S1</f>
        <v/>
      </c>
      <c r="L14" s="17">
        <f>bud_total_besoin_S1-bud_dont_personnel_S1-bud_bati_ge_S1-bud_imprevus_travaux_S1-bud_chauffage_S1-bud_hors_gel_S1-bud_electricite_S1</f>
        <v/>
      </c>
      <c r="M14" s="17">
        <f>bud_total_besoin_S1-bud_dont_personnel_S1-bud_bati_ge_S1-bud_imprevus_travaux_S1-bud_chauffage_S1-bud_hors_gel_S1-bud_electricite_S1</f>
        <v/>
      </c>
      <c r="N14" s="17">
        <f>bud_total_besoin_S1-bud_dont_personnel_S1-bud_bati_ge_S1-bud_imprevus_travaux_S1-bud_chauffage_S1-bud_hors_gel_S1-bud_electricite_S1</f>
        <v/>
      </c>
      <c r="O14" s="17">
        <f>bud_total_besoin_S1-bud_dont_personnel_S1-bud_bati_ge_S1-bud_imprevus_travaux_S1-bud_chauffage_S1-bud_hors_gel_S1-bud_electricite_S1</f>
        <v/>
      </c>
      <c r="P14" s="17">
        <f>bud_total_besoin_S1-bud_dont_personnel_S1-bud_bati_ge_S1-bud_imprevus_travaux_S1-bud_chauffage_S1-bud_hors_gel_S1-bud_electricite_S1</f>
        <v/>
      </c>
      <c r="Q14" s="17">
        <f>bud_total_besoin_S1-bud_dont_personnel_S1-bud_bati_ge_S1-bud_imprevus_travaux_S1-bud_chauffage_S1-bud_hors_gel_S1-bud_electricite_S1</f>
        <v/>
      </c>
      <c r="R14" s="17">
        <f>bud_total_besoin_S1-bud_dont_personnel_S1-bud_bati_ge_S1-bud_imprevus_travaux_S1-bud_chauffage_S1-bud_hors_gel_S1-bud_electricite_S1</f>
        <v/>
      </c>
      <c r="S14" s="17">
        <f>bud_total_besoin_S1-bud_dont_personnel_S1-bud_bati_ge_S1-bud_imprevus_travaux_S1-bud_chauffage_S1-bud_hors_gel_S1-bud_electricite_S1</f>
        <v/>
      </c>
      <c r="T14" s="17">
        <f>bud_total_besoin_S1-bud_dont_personnel_S1-bud_bati_ge_S1-bud_imprevus_travaux_S1-bud_chauffage_S1-bud_hors_gel_S1-bud_electricite_S1</f>
        <v/>
      </c>
      <c r="U14" s="17">
        <f>bud_total_besoin_S1-bud_dont_personnel_S1-bud_bati_ge_S1-bud_imprevus_travaux_S1-bud_chauffage_S1-bud_hors_gel_S1-bud_electricite_S1</f>
        <v/>
      </c>
      <c r="V14" s="17">
        <f>bud_total_besoin_S1-bud_dont_personnel_S1-bud_bati_ge_S1-bud_imprevus_travaux_S1-bud_chauffage_S1-bud_hors_gel_S1-bud_electricite_S1</f>
        <v/>
      </c>
      <c r="W14" s="17">
        <f>bud_total_besoin_S1-bud_dont_personnel_S1-bud_bati_ge_S1-bud_imprevus_travaux_S1-bud_chauffage_S1-bud_hors_gel_S1-bud_electricite_S1</f>
        <v/>
      </c>
      <c r="X14" s="17">
        <f>bud_total_besoin_S1-bud_dont_personnel_S1-bud_bati_ge_S1-bud_imprevus_travaux_S1-bud_chauffage_S1-bud_hors_gel_S1-bud_electricite_S1</f>
        <v/>
      </c>
    </row>
    <row r="15">
      <c r="A15" s="2" t="inlineStr">
        <is>
          <t>b_ge_prov</t>
        </is>
      </c>
      <c r="B15" s="2" t="inlineStr">
        <is>
          <t>Provision de gros entretien versée au fonds de travaux</t>
        </is>
      </c>
      <c r="C15" s="2" t="inlineStr">
        <is>
          <t>€ 2026</t>
        </is>
      </c>
      <c r="E15" s="17">
        <f>(bud_bati_ge_S1+bud_imprevus_travaux_S1)*E6</f>
        <v/>
      </c>
      <c r="F15" s="17">
        <f>(bud_bati_ge_S1+bud_imprevus_travaux_S1)*F6</f>
        <v/>
      </c>
      <c r="G15" s="17">
        <f>(bud_bati_ge_S1+bud_imprevus_travaux_S1)*G6</f>
        <v/>
      </c>
      <c r="H15" s="17">
        <f>(bud_bati_ge_S1+bud_imprevus_travaux_S1)*H6</f>
        <v/>
      </c>
      <c r="I15" s="17">
        <f>(bud_bati_ge_S1+bud_imprevus_travaux_S1)*I6</f>
        <v/>
      </c>
      <c r="J15" s="17">
        <f>(bud_bati_ge_S1+bud_imprevus_travaux_S1)*J6</f>
        <v/>
      </c>
      <c r="K15" s="17">
        <f>(bud_bati_ge_S1+bud_imprevus_travaux_S1)*K6</f>
        <v/>
      </c>
      <c r="L15" s="17">
        <f>(bud_bati_ge_S1+bud_imprevus_travaux_S1)*L6</f>
        <v/>
      </c>
      <c r="M15" s="17">
        <f>(bud_bati_ge_S1+bud_imprevus_travaux_S1)*M6</f>
        <v/>
      </c>
      <c r="N15" s="17">
        <f>(bud_bati_ge_S1+bud_imprevus_travaux_S1)*N6</f>
        <v/>
      </c>
      <c r="O15" s="17">
        <f>(bud_bati_ge_S1+bud_imprevus_travaux_S1)*O6</f>
        <v/>
      </c>
      <c r="P15" s="17">
        <f>(bud_bati_ge_S1+bud_imprevus_travaux_S1)*P6</f>
        <v/>
      </c>
      <c r="Q15" s="17">
        <f>(bud_bati_ge_S1+bud_imprevus_travaux_S1)*Q6</f>
        <v/>
      </c>
      <c r="R15" s="17">
        <f>(bud_bati_ge_S1+bud_imprevus_travaux_S1)*R6</f>
        <v/>
      </c>
      <c r="S15" s="17">
        <f>(bud_bati_ge_S1+bud_imprevus_travaux_S1)*S6</f>
        <v/>
      </c>
      <c r="T15" s="17">
        <f>(bud_bati_ge_S1+bud_imprevus_travaux_S1)*T6</f>
        <v/>
      </c>
      <c r="U15" s="17">
        <f>(bud_bati_ge_S1+bud_imprevus_travaux_S1)*U6</f>
        <v/>
      </c>
      <c r="V15" s="17">
        <f>(bud_bati_ge_S1+bud_imprevus_travaux_S1)*V6</f>
        <v/>
      </c>
      <c r="W15" s="17">
        <f>(bud_bati_ge_S1+bud_imprevus_travaux_S1)*W6</f>
        <v/>
      </c>
      <c r="X15" s="17">
        <f>(bud_bati_ge_S1+bud_imprevus_travaux_S1)*X6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IF(MOD(E$3,campagne_periode)=0,(D20+E15)*st_central_mult_campagne*(1-E11*flex_report),0)</f>
        <v/>
      </c>
      <c r="F17" s="17">
        <f>IF(MOD(F$3,campagne_periode)=0,(E20+F15)*st_central_mult_campagne*(1-F11*flex_report),0)</f>
        <v/>
      </c>
      <c r="G17" s="17">
        <f>IF(MOD(G$3,campagne_periode)=0,(F20+G15)*st_central_mult_campagne*(1-G11*flex_report),0)</f>
        <v/>
      </c>
      <c r="H17" s="17">
        <f>IF(MOD(H$3,campagne_periode)=0,(G20+H15)*st_central_mult_campagne*(1-H11*flex_report),0)</f>
        <v/>
      </c>
      <c r="I17" s="17">
        <f>IF(MOD(I$3,campagne_periode)=0,(H20+I15)*st_central_mult_campagne*(1-I11*flex_report),0)</f>
        <v/>
      </c>
      <c r="J17" s="17">
        <f>IF(MOD(J$3,campagne_periode)=0,(I20+J15)*st_central_mult_campagne*(1-J11*flex_report),0)</f>
        <v/>
      </c>
      <c r="K17" s="17">
        <f>IF(MOD(K$3,campagne_periode)=0,(J20+K15)*st_central_mult_campagne*(1-K11*flex_report),0)</f>
        <v/>
      </c>
      <c r="L17" s="17">
        <f>IF(MOD(L$3,campagne_periode)=0,(K20+L15)*st_central_mult_campagne*(1-L11*flex_report),0)</f>
        <v/>
      </c>
      <c r="M17" s="17">
        <f>IF(MOD(M$3,campagne_periode)=0,(L20+M15)*st_central_mult_campagne*(1-M11*flex_report),0)</f>
        <v/>
      </c>
      <c r="N17" s="17">
        <f>IF(MOD(N$3,campagne_periode)=0,(M20+N15)*st_central_mult_campagne*(1-N11*flex_report),0)</f>
        <v/>
      </c>
      <c r="O17" s="17">
        <f>IF(MOD(O$3,campagne_periode)=0,(N20+O15)*st_central_mult_campagne*(1-O11*flex_report),0)</f>
        <v/>
      </c>
      <c r="P17" s="17">
        <f>IF(MOD(P$3,campagne_periode)=0,(O20+P15)*st_central_mult_campagne*(1-P11*flex_report),0)</f>
        <v/>
      </c>
      <c r="Q17" s="17">
        <f>IF(MOD(Q$3,campagne_periode)=0,(P20+Q15)*st_central_mult_campagne*(1-Q11*flex_report),0)</f>
        <v/>
      </c>
      <c r="R17" s="17">
        <f>IF(MOD(R$3,campagne_periode)=0,(Q20+R15)*st_central_mult_campagne*(1-R11*flex_report),0)</f>
        <v/>
      </c>
      <c r="S17" s="17">
        <f>IF(MOD(S$3,campagne_periode)=0,(R20+S15)*st_central_mult_campagne*(1-S11*flex_report),0)</f>
        <v/>
      </c>
      <c r="T17" s="17">
        <f>IF(MOD(T$3,campagne_periode)=0,(S20+T15)*st_central_mult_campagne*(1-T11*flex_report),0)</f>
        <v/>
      </c>
      <c r="U17" s="17">
        <f>IF(MOD(U$3,campagne_periode)=0,(T20+U15)*st_central_mult_campagne*(1-U11*flex_report),0)</f>
        <v/>
      </c>
      <c r="V17" s="17">
        <f>IF(MOD(V$3,campagne_periode)=0,(U20+V15)*st_central_mult_campagne*(1-V11*flex_report),0)</f>
        <v/>
      </c>
      <c r="W17" s="17">
        <f>IF(MOD(W$3,campagne_periode)=0,(V20+W15)*st_central_mult_campagne*(1-W11*flex_report),0)</f>
        <v/>
      </c>
      <c r="X17" s="17">
        <f>IF(MOD(X$3,campagne_periode)=0,(W20+X15)*st_central_mult_campagne*(1-X11*flex_report),0)</f>
        <v/>
      </c>
    </row>
    <row r="18">
      <c r="A18" s="2" t="inlineStr">
        <is>
          <t>choc_trav</t>
        </is>
      </c>
      <c r="B18" s="2" t="inlineStr">
        <is>
          <t>Sinistre ou découverte non assurés</t>
        </is>
      </c>
      <c r="C18" s="2" t="inlineStr">
        <is>
          <t>€ 2026</t>
        </is>
      </c>
      <c r="E18" s="17">
        <f>IF(E$3=st_central_choc_trav_an,st_central_choc_trav_montant,0)</f>
        <v/>
      </c>
      <c r="F18" s="17">
        <f>IF(F$3=st_central_choc_trav_an,st_central_choc_trav_montant,0)</f>
        <v/>
      </c>
      <c r="G18" s="17">
        <f>IF(G$3=st_central_choc_trav_an,st_central_choc_trav_montant,0)</f>
        <v/>
      </c>
      <c r="H18" s="17">
        <f>IF(H$3=st_central_choc_trav_an,st_central_choc_trav_montant,0)</f>
        <v/>
      </c>
      <c r="I18" s="17">
        <f>IF(I$3=st_central_choc_trav_an,st_central_choc_trav_montant,0)</f>
        <v/>
      </c>
      <c r="J18" s="17">
        <f>IF(J$3=st_central_choc_trav_an,st_central_choc_trav_montant,0)</f>
        <v/>
      </c>
      <c r="K18" s="17">
        <f>IF(K$3=st_central_choc_trav_an,st_central_choc_trav_montant,0)</f>
        <v/>
      </c>
      <c r="L18" s="17">
        <f>IF(L$3=st_central_choc_trav_an,st_central_choc_trav_montant,0)</f>
        <v/>
      </c>
      <c r="M18" s="17">
        <f>IF(M$3=st_central_choc_trav_an,st_central_choc_trav_montant,0)</f>
        <v/>
      </c>
      <c r="N18" s="17">
        <f>IF(N$3=st_central_choc_trav_an,st_central_choc_trav_montant,0)</f>
        <v/>
      </c>
      <c r="O18" s="17">
        <f>IF(O$3=st_central_choc_trav_an,st_central_choc_trav_montant,0)</f>
        <v/>
      </c>
      <c r="P18" s="17">
        <f>IF(P$3=st_central_choc_trav_an,st_central_choc_trav_montant,0)</f>
        <v/>
      </c>
      <c r="Q18" s="17">
        <f>IF(Q$3=st_central_choc_trav_an,st_central_choc_trav_montant,0)</f>
        <v/>
      </c>
      <c r="R18" s="17">
        <f>IF(R$3=st_central_choc_trav_an,st_central_choc_trav_montant,0)</f>
        <v/>
      </c>
      <c r="S18" s="17">
        <f>IF(S$3=st_central_choc_trav_an,st_central_choc_trav_montant,0)</f>
        <v/>
      </c>
      <c r="T18" s="17">
        <f>IF(T$3=st_central_choc_trav_an,st_central_choc_trav_montant,0)</f>
        <v/>
      </c>
      <c r="U18" s="17">
        <f>IF(U$3=st_central_choc_trav_an,st_central_choc_trav_montant,0)</f>
        <v/>
      </c>
      <c r="V18" s="17">
        <f>IF(V$3=st_central_choc_trav_an,st_central_choc_trav_montant,0)</f>
        <v/>
      </c>
      <c r="W18" s="17">
        <f>IF(W$3=st_central_choc_trav_an,st_central_choc_trav_montant,0)</f>
        <v/>
      </c>
      <c r="X18" s="17">
        <f>IF(X$3=st_central_choc_trav_an,st_central_choc_trav_montant,0)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(S1_ech_log*mot_log_cn+S1_ech_stock*mot_stock_cn+S1_ech_pv*mot_pv_cn+S1_ech_bois*mot_bois_cn)*E22*E8*IF(E$3&gt;=st_central_debut_mult,st_central_mult_A,1)*IF(E10=1,1-0.05,IF(E10=2,1-0.02,1))</f>
        <v/>
      </c>
      <c r="F23" s="17">
        <f>(S1_ech_log*mot_log_cn+S1_ech_stock*mot_stock_cn+S1_ech_pv*mot_pv_cn+S1_ech_bois*mot_bois_cn)*F22*F8*IF(F$3&gt;=st_central_debut_mult,st_central_mult_A,1)*IF(F10=1,1-0.05,IF(F10=2,1-0.02,1))</f>
        <v/>
      </c>
      <c r="G23" s="17">
        <f>(S1_ech_log*mot_log_cn+S1_ech_stock*mot_stock_cn+S1_ech_pv*mot_pv_cn+S1_ech_bois*mot_bois_cn)*G22*G8*IF(G$3&gt;=st_central_debut_mult,st_central_mult_A,1)*IF(G10=1,1-0.05,IF(G10=2,1-0.02,1))</f>
        <v/>
      </c>
      <c r="H23" s="17">
        <f>(S1_ech_log*mot_log_cn+S1_ech_stock*mot_stock_cn+S1_ech_pv*mot_pv_cn+S1_ech_bois*mot_bois_cn)*H22*H8*IF(H$3&gt;=st_central_debut_mult,st_central_mult_A,1)*IF(H10=1,1-0.05,IF(H10=2,1-0.02,1))</f>
        <v/>
      </c>
      <c r="I23" s="17">
        <f>(S1_ech_log*mot_log_cn+S1_ech_stock*mot_stock_cn+S1_ech_pv*mot_pv_cn+S1_ech_bois*mot_bois_cn)*I22*I8*IF(I$3&gt;=st_central_debut_mult,st_central_mult_A,1)*IF(I10=1,1-0.05,IF(I10=2,1-0.02,1))</f>
        <v/>
      </c>
      <c r="J23" s="17">
        <f>(S1_ech_log*mot_log_cn+S1_ech_stock*mot_stock_cn+S1_ech_pv*mot_pv_cn+S1_ech_bois*mot_bois_cn)*J22*J8*IF(J$3&gt;=st_central_debut_mult,st_central_mult_A,1)*IF(J10=1,1-0.05,IF(J10=2,1-0.02,1))</f>
        <v/>
      </c>
      <c r="K23" s="17">
        <f>(S1_ech_log*mot_log_cn+S1_ech_stock*mot_stock_cn+S1_ech_pv*mot_pv_cn+S1_ech_bois*mot_bois_cn)*K22*K8*IF(K$3&gt;=st_central_debut_mult,st_central_mult_A,1)*IF(K10=1,1-0.05,IF(K10=2,1-0.02,1))</f>
        <v/>
      </c>
      <c r="L23" s="17">
        <f>(S1_ech_log*mot_log_cn+S1_ech_stock*mot_stock_cn+S1_ech_pv*mot_pv_cn+S1_ech_bois*mot_bois_cn)*L22*L8*IF(L$3&gt;=st_central_debut_mult,st_central_mult_A,1)*IF(L10=1,1-0.05,IF(L10=2,1-0.02,1))</f>
        <v/>
      </c>
      <c r="M23" s="17">
        <f>(S1_ech_log*mot_log_cn+S1_ech_stock*mot_stock_cn+S1_ech_pv*mot_pv_cn+S1_ech_bois*mot_bois_cn)*M22*M8*IF(M$3&gt;=st_central_debut_mult,st_central_mult_A,1)*IF(M10=1,1-0.05,IF(M10=2,1-0.02,1))</f>
        <v/>
      </c>
      <c r="N23" s="17">
        <f>(S1_ech_log*mot_log_cn+S1_ech_stock*mot_stock_cn+S1_ech_pv*mot_pv_cn+S1_ech_bois*mot_bois_cn)*N22*N8*IF(N$3&gt;=st_central_debut_mult,st_central_mult_A,1)*IF(N10=1,1-0.05,IF(N10=2,1-0.02,1))</f>
        <v/>
      </c>
      <c r="O23" s="17">
        <f>(S1_ech_log*mot_log_cn+S1_ech_stock*mot_stock_cn+S1_ech_pv*mot_pv_cn+S1_ech_bois*mot_bois_cn)*O22*O8*IF(O$3&gt;=st_central_debut_mult,st_central_mult_A,1)*IF(O10=1,1-0.05,IF(O10=2,1-0.02,1))</f>
        <v/>
      </c>
      <c r="P23" s="17">
        <f>(S1_ech_log*mot_log_cn+S1_ech_stock*mot_stock_cn+S1_ech_pv*mot_pv_cn+S1_ech_bois*mot_bois_cn)*P22*P8*IF(P$3&gt;=st_central_debut_mult,st_central_mult_A,1)*IF(P10=1,1-0.05,IF(P10=2,1-0.02,1))</f>
        <v/>
      </c>
      <c r="Q23" s="17">
        <f>(S1_ech_log*mot_log_cn+S1_ech_stock*mot_stock_cn+S1_ech_pv*mot_pv_cn+S1_ech_bois*mot_bois_cn)*Q22*Q8*IF(Q$3&gt;=st_central_debut_mult,st_central_mult_A,1)*IF(Q10=1,1-0.05,IF(Q10=2,1-0.02,1))</f>
        <v/>
      </c>
      <c r="R23" s="17">
        <f>(S1_ech_log*mot_log_cn+S1_ech_stock*mot_stock_cn+S1_ech_pv*mot_pv_cn+S1_ech_bois*mot_bois_cn)*R22*R8*IF(R$3&gt;=st_central_debut_mult,st_central_mult_A,1)*IF(R10=1,1-0.05,IF(R10=2,1-0.02,1))</f>
        <v/>
      </c>
      <c r="S23" s="17">
        <f>(S1_ech_log*mot_log_cn+S1_ech_stock*mot_stock_cn+S1_ech_pv*mot_pv_cn+S1_ech_bois*mot_bois_cn)*S22*S8*IF(S$3&gt;=st_central_debut_mult,st_central_mult_A,1)*IF(S10=1,1-0.05,IF(S10=2,1-0.02,1))</f>
        <v/>
      </c>
      <c r="T23" s="17">
        <f>(S1_ech_log*mot_log_cn+S1_ech_stock*mot_stock_cn+S1_ech_pv*mot_pv_cn+S1_ech_bois*mot_bois_cn)*T22*T8*IF(T$3&gt;=st_central_debut_mult,st_central_mult_A,1)*IF(T10=1,1-0.05,IF(T10=2,1-0.02,1))</f>
        <v/>
      </c>
      <c r="U23" s="17">
        <f>(S1_ech_log*mot_log_cn+S1_ech_stock*mot_stock_cn+S1_ech_pv*mot_pv_cn+S1_ech_bois*mot_bois_cn)*U22*U8*IF(U$3&gt;=st_central_debut_mult,st_central_mult_A,1)*IF(U10=1,1-0.05,IF(U10=2,1-0.02,1))</f>
        <v/>
      </c>
      <c r="V23" s="17">
        <f>(S1_ech_log*mot_log_cn+S1_ech_stock*mot_stock_cn+S1_ech_pv*mot_pv_cn+S1_ech_bois*mot_bois_cn)*V22*V8*IF(V$3&gt;=st_central_debut_mult,st_central_mult_A,1)*IF(V10=1,1-0.05,IF(V10=2,1-0.02,1))</f>
        <v/>
      </c>
      <c r="W23" s="17">
        <f>(S1_ech_log*mot_log_cn+S1_ech_stock*mot_stock_cn+S1_ech_pv*mot_pv_cn+S1_ech_bois*mot_bois_cn)*W22*W8*IF(W$3&gt;=st_central_debut_mult,st_central_mult_A,1)*IF(W10=1,1-0.05,IF(W10=2,1-0.02,1))</f>
        <v/>
      </c>
      <c r="X23" s="17">
        <f>(S1_ech_log*mot_log_cn+S1_ech_stock*mot_stock_cn+S1_ech_pv*mot_pv_cn+S1_ech_bois*mot_bois_cn)*X22*X8*IF(X$3&gt;=st_central_debut_mult,st_central_mult_A,1)*IF(X10=1,1-0.05,IF(X10=2,1-0.02,1))</f>
        <v/>
      </c>
    </row>
    <row r="24">
      <c r="A24" s="2" t="inlineStr">
        <is>
          <t>act_B</t>
        </is>
      </c>
      <c r="B24" s="2" t="inlineStr">
        <is>
          <t>Contribution des activités récurrentes opérationnelles (classe B)</t>
        </is>
      </c>
      <c r="C24" s="2" t="inlineStr">
        <is>
          <t>€ 2026</t>
        </is>
      </c>
      <c r="E24" s="17">
        <f>(S1_ech_eq_std*mot_eq_std_cn+S1_ech_eq_ret*mot_eq_ret_cn)*E22*E8*IF(E$3&gt;=st_central_debut_mult,st_central_mult_B,1)*IF(E10=1,1-0.15,IF(E10=2,1-0.05,1))</f>
        <v/>
      </c>
      <c r="F24" s="17">
        <f>(S1_ech_eq_std*mot_eq_std_cn+S1_ech_eq_ret*mot_eq_ret_cn)*F22*F8*IF(F$3&gt;=st_central_debut_mult,st_central_mult_B,1)*IF(F10=1,1-0.15,IF(F10=2,1-0.05,1))</f>
        <v/>
      </c>
      <c r="G24" s="17">
        <f>(S1_ech_eq_std*mot_eq_std_cn+S1_ech_eq_ret*mot_eq_ret_cn)*G22*G8*IF(G$3&gt;=st_central_debut_mult,st_central_mult_B,1)*IF(G10=1,1-0.15,IF(G10=2,1-0.05,1))</f>
        <v/>
      </c>
      <c r="H24" s="17">
        <f>(S1_ech_eq_std*mot_eq_std_cn+S1_ech_eq_ret*mot_eq_ret_cn)*H22*H8*IF(H$3&gt;=st_central_debut_mult,st_central_mult_B,1)*IF(H10=1,1-0.15,IF(H10=2,1-0.05,1))</f>
        <v/>
      </c>
      <c r="I24" s="17">
        <f>(S1_ech_eq_std*mot_eq_std_cn+S1_ech_eq_ret*mot_eq_ret_cn)*I22*I8*IF(I$3&gt;=st_central_debut_mult,st_central_mult_B,1)*IF(I10=1,1-0.15,IF(I10=2,1-0.05,1))</f>
        <v/>
      </c>
      <c r="J24" s="17">
        <f>(S1_ech_eq_std*mot_eq_std_cn+S1_ech_eq_ret*mot_eq_ret_cn)*J22*J8*IF(J$3&gt;=st_central_debut_mult,st_central_mult_B,1)*IF(J10=1,1-0.15,IF(J10=2,1-0.05,1))</f>
        <v/>
      </c>
      <c r="K24" s="17">
        <f>(S1_ech_eq_std*mot_eq_std_cn+S1_ech_eq_ret*mot_eq_ret_cn)*K22*K8*IF(K$3&gt;=st_central_debut_mult,st_central_mult_B,1)*IF(K10=1,1-0.15,IF(K10=2,1-0.05,1))</f>
        <v/>
      </c>
      <c r="L24" s="17">
        <f>(S1_ech_eq_std*mot_eq_std_cn+S1_ech_eq_ret*mot_eq_ret_cn)*L22*L8*IF(L$3&gt;=st_central_debut_mult,st_central_mult_B,1)*IF(L10=1,1-0.15,IF(L10=2,1-0.05,1))</f>
        <v/>
      </c>
      <c r="M24" s="17">
        <f>(S1_ech_eq_std*mot_eq_std_cn+S1_ech_eq_ret*mot_eq_ret_cn)*M22*M8*IF(M$3&gt;=st_central_debut_mult,st_central_mult_B,1)*IF(M10=1,1-0.15,IF(M10=2,1-0.05,1))</f>
        <v/>
      </c>
      <c r="N24" s="17">
        <f>(S1_ech_eq_std*mot_eq_std_cn+S1_ech_eq_ret*mot_eq_ret_cn)*N22*N8*IF(N$3&gt;=st_central_debut_mult,st_central_mult_B,1)*IF(N10=1,1-0.15,IF(N10=2,1-0.05,1))</f>
        <v/>
      </c>
      <c r="O24" s="17">
        <f>(S1_ech_eq_std*mot_eq_std_cn+S1_ech_eq_ret*mot_eq_ret_cn)*O22*O8*IF(O$3&gt;=st_central_debut_mult,st_central_mult_B,1)*IF(O10=1,1-0.15,IF(O10=2,1-0.05,1))</f>
        <v/>
      </c>
      <c r="P24" s="17">
        <f>(S1_ech_eq_std*mot_eq_std_cn+S1_ech_eq_ret*mot_eq_ret_cn)*P22*P8*IF(P$3&gt;=st_central_debut_mult,st_central_mult_B,1)*IF(P10=1,1-0.15,IF(P10=2,1-0.05,1))</f>
        <v/>
      </c>
      <c r="Q24" s="17">
        <f>(S1_ech_eq_std*mot_eq_std_cn+S1_ech_eq_ret*mot_eq_ret_cn)*Q22*Q8*IF(Q$3&gt;=st_central_debut_mult,st_central_mult_B,1)*IF(Q10=1,1-0.15,IF(Q10=2,1-0.05,1))</f>
        <v/>
      </c>
      <c r="R24" s="17">
        <f>(S1_ech_eq_std*mot_eq_std_cn+S1_ech_eq_ret*mot_eq_ret_cn)*R22*R8*IF(R$3&gt;=st_central_debut_mult,st_central_mult_B,1)*IF(R10=1,1-0.15,IF(R10=2,1-0.05,1))</f>
        <v/>
      </c>
      <c r="S24" s="17">
        <f>(S1_ech_eq_std*mot_eq_std_cn+S1_ech_eq_ret*mot_eq_ret_cn)*S22*S8*IF(S$3&gt;=st_central_debut_mult,st_central_mult_B,1)*IF(S10=1,1-0.15,IF(S10=2,1-0.05,1))</f>
        <v/>
      </c>
      <c r="T24" s="17">
        <f>(S1_ech_eq_std*mot_eq_std_cn+S1_ech_eq_ret*mot_eq_ret_cn)*T22*T8*IF(T$3&gt;=st_central_debut_mult,st_central_mult_B,1)*IF(T10=1,1-0.15,IF(T10=2,1-0.05,1))</f>
        <v/>
      </c>
      <c r="U24" s="17">
        <f>(S1_ech_eq_std*mot_eq_std_cn+S1_ech_eq_ret*mot_eq_ret_cn)*U22*U8*IF(U$3&gt;=st_central_debut_mult,st_central_mult_B,1)*IF(U10=1,1-0.15,IF(U10=2,1-0.05,1))</f>
        <v/>
      </c>
      <c r="V24" s="17">
        <f>(S1_ech_eq_std*mot_eq_std_cn+S1_ech_eq_ret*mot_eq_ret_cn)*V22*V8*IF(V$3&gt;=st_central_debut_mult,st_central_mult_B,1)*IF(V10=1,1-0.15,IF(V10=2,1-0.05,1))</f>
        <v/>
      </c>
      <c r="W24" s="17">
        <f>(S1_ech_eq_std*mot_eq_std_cn+S1_ech_eq_ret*mot_eq_ret_cn)*W22*W8*IF(W$3&gt;=st_central_debut_mult,st_central_mult_B,1)*IF(W10=1,1-0.15,IF(W10=2,1-0.05,1))</f>
        <v/>
      </c>
      <c r="X24" s="17">
        <f>(S1_ech_eq_std*mot_eq_std_cn+S1_ech_eq_ret*mot_eq_ret_cn)*X22*X8*IF(X$3&gt;=st_central_debut_mult,st_central_mult_B,1)*IF(X10=1,1-0.15,IF(X10=2,1-0.05,1))</f>
        <v/>
      </c>
    </row>
    <row r="25">
      <c r="A25" s="2" t="inlineStr">
        <is>
          <t>act_C</t>
        </is>
      </c>
      <c r="B25" s="2" t="inlineStr">
        <is>
          <t>Contribution des activités occasionnelles (classe C)</t>
        </is>
      </c>
      <c r="C25" s="2" t="inlineStr">
        <is>
          <t>€ 2026</t>
        </is>
      </c>
      <c r="E25" s="17">
        <f>(S1_ech_tourn*mot_tourn_cn)*E22*E8*IF(E$3&gt;=st_central_debut_mult,st_central_mult_C,1)*IF(E10=1,1-0.8,IF(E10=2,1-0.3,1))</f>
        <v/>
      </c>
      <c r="F25" s="17">
        <f>(S1_ech_tourn*mot_tourn_cn)*F22*F8*IF(F$3&gt;=st_central_debut_mult,st_central_mult_C,1)*IF(F10=1,1-0.8,IF(F10=2,1-0.3,1))</f>
        <v/>
      </c>
      <c r="G25" s="17">
        <f>(S1_ech_tourn*mot_tourn_cn)*G22*G8*IF(G$3&gt;=st_central_debut_mult,st_central_mult_C,1)*IF(G10=1,1-0.8,IF(G10=2,1-0.3,1))</f>
        <v/>
      </c>
      <c r="H25" s="17">
        <f>(S1_ech_tourn*mot_tourn_cn)*H22*H8*IF(H$3&gt;=st_central_debut_mult,st_central_mult_C,1)*IF(H10=1,1-0.8,IF(H10=2,1-0.3,1))</f>
        <v/>
      </c>
      <c r="I25" s="17">
        <f>(S1_ech_tourn*mot_tourn_cn)*I22*I8*IF(I$3&gt;=st_central_debut_mult,st_central_mult_C,1)*IF(I10=1,1-0.8,IF(I10=2,1-0.3,1))</f>
        <v/>
      </c>
      <c r="J25" s="17">
        <f>(S1_ech_tourn*mot_tourn_cn)*J22*J8*IF(J$3&gt;=st_central_debut_mult,st_central_mult_C,1)*IF(J10=1,1-0.8,IF(J10=2,1-0.3,1))</f>
        <v/>
      </c>
      <c r="K25" s="17">
        <f>(S1_ech_tourn*mot_tourn_cn)*K22*K8*IF(K$3&gt;=st_central_debut_mult,st_central_mult_C,1)*IF(K10=1,1-0.8,IF(K10=2,1-0.3,1))</f>
        <v/>
      </c>
      <c r="L25" s="17">
        <f>(S1_ech_tourn*mot_tourn_cn)*L22*L8*IF(L$3&gt;=st_central_debut_mult,st_central_mult_C,1)*IF(L10=1,1-0.8,IF(L10=2,1-0.3,1))</f>
        <v/>
      </c>
      <c r="M25" s="17">
        <f>(S1_ech_tourn*mot_tourn_cn)*M22*M8*IF(M$3&gt;=st_central_debut_mult,st_central_mult_C,1)*IF(M10=1,1-0.8,IF(M10=2,1-0.3,1))</f>
        <v/>
      </c>
      <c r="N25" s="17">
        <f>(S1_ech_tourn*mot_tourn_cn)*N22*N8*IF(N$3&gt;=st_central_debut_mult,st_central_mult_C,1)*IF(N10=1,1-0.8,IF(N10=2,1-0.3,1))</f>
        <v/>
      </c>
      <c r="O25" s="17">
        <f>(S1_ech_tourn*mot_tourn_cn)*O22*O8*IF(O$3&gt;=st_central_debut_mult,st_central_mult_C,1)*IF(O10=1,1-0.8,IF(O10=2,1-0.3,1))</f>
        <v/>
      </c>
      <c r="P25" s="17">
        <f>(S1_ech_tourn*mot_tourn_cn)*P22*P8*IF(P$3&gt;=st_central_debut_mult,st_central_mult_C,1)*IF(P10=1,1-0.8,IF(P10=2,1-0.3,1))</f>
        <v/>
      </c>
      <c r="Q25" s="17">
        <f>(S1_ech_tourn*mot_tourn_cn)*Q22*Q8*IF(Q$3&gt;=st_central_debut_mult,st_central_mult_C,1)*IF(Q10=1,1-0.8,IF(Q10=2,1-0.3,1))</f>
        <v/>
      </c>
      <c r="R25" s="17">
        <f>(S1_ech_tourn*mot_tourn_cn)*R22*R8*IF(R$3&gt;=st_central_debut_mult,st_central_mult_C,1)*IF(R10=1,1-0.8,IF(R10=2,1-0.3,1))</f>
        <v/>
      </c>
      <c r="S25" s="17">
        <f>(S1_ech_tourn*mot_tourn_cn)*S22*S8*IF(S$3&gt;=st_central_debut_mult,st_central_mult_C,1)*IF(S10=1,1-0.8,IF(S10=2,1-0.3,1))</f>
        <v/>
      </c>
      <c r="T25" s="17">
        <f>(S1_ech_tourn*mot_tourn_cn)*T22*T8*IF(T$3&gt;=st_central_debut_mult,st_central_mult_C,1)*IF(T10=1,1-0.8,IF(T10=2,1-0.3,1))</f>
        <v/>
      </c>
      <c r="U25" s="17">
        <f>(S1_ech_tourn*mot_tourn_cn)*U22*U8*IF(U$3&gt;=st_central_debut_mult,st_central_mult_C,1)*IF(U10=1,1-0.8,IF(U10=2,1-0.3,1))</f>
        <v/>
      </c>
      <c r="V25" s="17">
        <f>(S1_ech_tourn*mot_tourn_cn)*V22*V8*IF(V$3&gt;=st_central_debut_mult,st_central_mult_C,1)*IF(V10=1,1-0.8,IF(V10=2,1-0.3,1))</f>
        <v/>
      </c>
      <c r="W25" s="17">
        <f>(S1_ech_tourn*mot_tourn_cn)*W22*W8*IF(W$3&gt;=st_central_debut_mult,st_central_mult_C,1)*IF(W10=1,1-0.8,IF(W10=2,1-0.3,1))</f>
        <v/>
      </c>
      <c r="X25" s="17">
        <f>(S1_ech_tourn*mot_tourn_cn)*X22*X8*IF(X$3&gt;=st_central_debut_mult,st_central_mult_C,1)*IF(X10=1,1-0.8,IF(X10=2,1-0.3,1))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IF(E$3=1,S1_ech_log*mot_log_inv+S1_ech_stock*stock_capex,0)</f>
        <v/>
      </c>
      <c r="F28" s="17">
        <f>IF(F$3=1,S1_ech_log*mot_log_inv+S1_ech_stock*stock_capex,0)</f>
        <v/>
      </c>
      <c r="G28" s="17">
        <f>IF(G$3=1,S1_ech_log*mot_log_inv+S1_ech_stock*stock_capex,0)</f>
        <v/>
      </c>
      <c r="H28" s="17">
        <f>IF(H$3=1,S1_ech_log*mot_log_inv+S1_ech_stock*stock_capex,0)</f>
        <v/>
      </c>
      <c r="I28" s="17">
        <f>IF(I$3=1,S1_ech_log*mot_log_inv+S1_ech_stock*stock_capex,0)</f>
        <v/>
      </c>
      <c r="J28" s="17">
        <f>IF(J$3=1,S1_ech_log*mot_log_inv+S1_ech_stock*stock_capex,0)</f>
        <v/>
      </c>
      <c r="K28" s="17">
        <f>IF(K$3=1,S1_ech_log*mot_log_inv+S1_ech_stock*stock_capex,0)</f>
        <v/>
      </c>
      <c r="L28" s="17">
        <f>IF(L$3=1,S1_ech_log*mot_log_inv+S1_ech_stock*stock_capex,0)</f>
        <v/>
      </c>
      <c r="M28" s="17">
        <f>IF(M$3=1,S1_ech_log*mot_log_inv+S1_ech_stock*stock_capex,0)</f>
        <v/>
      </c>
      <c r="N28" s="17">
        <f>IF(N$3=1,S1_ech_log*mot_log_inv+S1_ech_stock*stock_capex,0)</f>
        <v/>
      </c>
      <c r="O28" s="17">
        <f>IF(O$3=1,S1_ech_log*mot_log_inv+S1_ech_stock*stock_capex,0)</f>
        <v/>
      </c>
      <c r="P28" s="17">
        <f>IF(P$3=1,S1_ech_log*mot_log_inv+S1_ech_stock*stock_capex,0)</f>
        <v/>
      </c>
      <c r="Q28" s="17">
        <f>IF(Q$3=1,S1_ech_log*mot_log_inv+S1_ech_stock*stock_capex,0)</f>
        <v/>
      </c>
      <c r="R28" s="17">
        <f>IF(R$3=1,S1_ech_log*mot_log_inv+S1_ech_stock*stock_capex,0)</f>
        <v/>
      </c>
      <c r="S28" s="17">
        <f>IF(S$3=1,S1_ech_log*mot_log_inv+S1_ech_stock*stock_capex,0)</f>
        <v/>
      </c>
      <c r="T28" s="17">
        <f>IF(T$3=1,S1_ech_log*mot_log_inv+S1_ech_stock*stock_capex,0)</f>
        <v/>
      </c>
      <c r="U28" s="17">
        <f>IF(U$3=1,S1_ech_log*mot_log_inv+S1_ech_stock*stock_capex,0)</f>
        <v/>
      </c>
      <c r="V28" s="17">
        <f>IF(V$3=1,S1_ech_log*mot_log_inv+S1_ech_stock*stock_capex,0)</f>
        <v/>
      </c>
      <c r="W28" s="17">
        <f>IF(W$3=1,S1_ech_log*mot_log_inv+S1_ech_stock*stock_capex,0)</f>
        <v/>
      </c>
      <c r="X28" s="17">
        <f>IF(X$3=1,S1_ech_log*mot_log_inv+S1_ech_stock*stock_capex,0)</f>
        <v/>
      </c>
    </row>
    <row r="29">
      <c r="A29" s="2" t="inlineStr">
        <is>
          <t>dette</t>
        </is>
      </c>
      <c r="B29" s="2" t="inlineStr">
        <is>
          <t>Annuité de la dette d'acquisition, en euros constants (option)</t>
        </is>
      </c>
      <c r="C29" s="2" t="inlineStr">
        <is>
          <t>€ 2026</t>
        </is>
      </c>
      <c r="E29" s="17">
        <f>dette_active*IF(E$3&lt;=dette_duree,-PMT(dette_taux,dette_duree,S1_prix_achat*dette_quotite)/E9,0)</f>
        <v/>
      </c>
      <c r="F29" s="17">
        <f>dette_active*IF(F$3&lt;=dette_duree,-PMT(dette_taux,dette_duree,S1_prix_achat*dette_quotite)/F9,0)</f>
        <v/>
      </c>
      <c r="G29" s="17">
        <f>dette_active*IF(G$3&lt;=dette_duree,-PMT(dette_taux,dette_duree,S1_prix_achat*dette_quotite)/G9,0)</f>
        <v/>
      </c>
      <c r="H29" s="17">
        <f>dette_active*IF(H$3&lt;=dette_duree,-PMT(dette_taux,dette_duree,S1_prix_achat*dette_quotite)/H9,0)</f>
        <v/>
      </c>
      <c r="I29" s="17">
        <f>dette_active*IF(I$3&lt;=dette_duree,-PMT(dette_taux,dette_duree,S1_prix_achat*dette_quotite)/I9,0)</f>
        <v/>
      </c>
      <c r="J29" s="17">
        <f>dette_active*IF(J$3&lt;=dette_duree,-PMT(dette_taux,dette_duree,S1_prix_achat*dette_quotite)/J9,0)</f>
        <v/>
      </c>
      <c r="K29" s="17">
        <f>dette_active*IF(K$3&lt;=dette_duree,-PMT(dette_taux,dette_duree,S1_prix_achat*dette_quotite)/K9,0)</f>
        <v/>
      </c>
      <c r="L29" s="17">
        <f>dette_active*IF(L$3&lt;=dette_duree,-PMT(dette_taux,dette_duree,S1_prix_achat*dette_quotite)/L9,0)</f>
        <v/>
      </c>
      <c r="M29" s="17">
        <f>dette_active*IF(M$3&lt;=dette_duree,-PMT(dette_taux,dette_duree,S1_prix_achat*dette_quotite)/M9,0)</f>
        <v/>
      </c>
      <c r="N29" s="17">
        <f>dette_active*IF(N$3&lt;=dette_duree,-PMT(dette_taux,dette_duree,S1_prix_achat*dette_quotite)/N9,0)</f>
        <v/>
      </c>
      <c r="O29" s="17">
        <f>dette_active*IF(O$3&lt;=dette_duree,-PMT(dette_taux,dette_duree,S1_prix_achat*dette_quotite)/O9,0)</f>
        <v/>
      </c>
      <c r="P29" s="17">
        <f>dette_active*IF(P$3&lt;=dette_duree,-PMT(dette_taux,dette_duree,S1_prix_achat*dette_quotite)/P9,0)</f>
        <v/>
      </c>
      <c r="Q29" s="17">
        <f>dette_active*IF(Q$3&lt;=dette_duree,-PMT(dette_taux,dette_duree,S1_prix_achat*dette_quotite)/Q9,0)</f>
        <v/>
      </c>
      <c r="R29" s="17">
        <f>dette_active*IF(R$3&lt;=dette_duree,-PMT(dette_taux,dette_duree,S1_prix_achat*dette_quotite)/R9,0)</f>
        <v/>
      </c>
      <c r="S29" s="17">
        <f>dette_active*IF(S$3&lt;=dette_duree,-PMT(dette_taux,dette_duree,S1_prix_achat*dette_quotite)/S9,0)</f>
        <v/>
      </c>
      <c r="T29" s="17">
        <f>dette_active*IF(T$3&lt;=dette_duree,-PMT(dette_taux,dette_duree,S1_prix_achat*dette_quotite)/T9,0)</f>
        <v/>
      </c>
      <c r="U29" s="17">
        <f>dette_active*IF(U$3&lt;=dette_duree,-PMT(dette_taux,dette_duree,S1_prix_achat*dette_quotite)/U9,0)</f>
        <v/>
      </c>
      <c r="V29" s="17">
        <f>dette_active*IF(V$3&lt;=dette_duree,-PMT(dette_taux,dette_duree,S1_prix_achat*dette_quotite)/V9,0)</f>
        <v/>
      </c>
      <c r="W29" s="17">
        <f>dette_active*IF(W$3&lt;=dette_duree,-PMT(dette_taux,dette_duree,S1_prix_achat*dette_quotite)/W9,0)</f>
        <v/>
      </c>
      <c r="X29" s="17">
        <f>dette_active*IF(X$3&lt;=dette_duree,-PMT(dette_taux,dette_duree,S1_prix_achat*dette_quotite)/X9,0)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E11*flex_taux*bud_total_besoin_S1</f>
        <v/>
      </c>
      <c r="F31" s="17">
        <f>F11*flex_taux*bud_total_besoin_S1</f>
        <v/>
      </c>
      <c r="G31" s="17">
        <f>G11*flex_taux*bud_total_besoin_S1</f>
        <v/>
      </c>
      <c r="H31" s="17">
        <f>H11*flex_taux*bud_total_besoin_S1</f>
        <v/>
      </c>
      <c r="I31" s="17">
        <f>I11*flex_taux*bud_total_besoin_S1</f>
        <v/>
      </c>
      <c r="J31" s="17">
        <f>J11*flex_taux*bud_total_besoin_S1</f>
        <v/>
      </c>
      <c r="K31" s="17">
        <f>K11*flex_taux*bud_total_besoin_S1</f>
        <v/>
      </c>
      <c r="L31" s="17">
        <f>L11*flex_taux*bud_total_besoin_S1</f>
        <v/>
      </c>
      <c r="M31" s="17">
        <f>M11*flex_taux*bud_total_besoin_S1</f>
        <v/>
      </c>
      <c r="N31" s="17">
        <f>N11*flex_taux*bud_total_besoin_S1</f>
        <v/>
      </c>
      <c r="O31" s="17">
        <f>O11*flex_taux*bud_total_besoin_S1</f>
        <v/>
      </c>
      <c r="P31" s="17">
        <f>P11*flex_taux*bud_total_besoin_S1</f>
        <v/>
      </c>
      <c r="Q31" s="17">
        <f>Q11*flex_taux*bud_total_besoin_S1</f>
        <v/>
      </c>
      <c r="R31" s="17">
        <f>R11*flex_taux*bud_total_besoin_S1</f>
        <v/>
      </c>
      <c r="S31" s="17">
        <f>S11*flex_taux*bud_total_besoin_S1</f>
        <v/>
      </c>
      <c r="T31" s="17">
        <f>T11*flex_taux*bud_total_besoin_S1</f>
        <v/>
      </c>
      <c r="U31" s="17">
        <f>U11*flex_taux*bud_total_besoin_S1</f>
        <v/>
      </c>
      <c r="V31" s="17">
        <f>V11*flex_taux*bud_total_besoin_S1</f>
        <v/>
      </c>
      <c r="W31" s="17">
        <f>W11*flex_taux*bud_total_besoin_S1</f>
        <v/>
      </c>
      <c r="X31" s="17">
        <f>X11*flex_taux*bud_total_besoin_S1</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IF(AND(E$3&lt;=S1_sol_div_annees,E$3&lt;=st_central_div_fin),S1_sol_div*IF(E10=1,0.5,1),0)</f>
        <v/>
      </c>
      <c r="F33" s="17">
        <f>IF(AND(F$3&lt;=S1_sol_div_annees,F$3&lt;=st_central_div_fin),S1_sol_div*IF(F10=1,0.5,1),0)</f>
        <v/>
      </c>
      <c r="G33" s="17">
        <f>IF(AND(G$3&lt;=S1_sol_div_annees,G$3&lt;=st_central_div_fin),S1_sol_div*IF(G10=1,0.5,1),0)</f>
        <v/>
      </c>
      <c r="H33" s="17">
        <f>IF(AND(H$3&lt;=S1_sol_div_annees,H$3&lt;=st_central_div_fin),S1_sol_div*IF(H10=1,0.5,1),0)</f>
        <v/>
      </c>
      <c r="I33" s="17">
        <f>IF(AND(I$3&lt;=S1_sol_div_annees,I$3&lt;=st_central_div_fin),S1_sol_div*IF(I10=1,0.5,1),0)</f>
        <v/>
      </c>
      <c r="J33" s="17">
        <f>IF(AND(J$3&lt;=S1_sol_div_annees,J$3&lt;=st_central_div_fin),S1_sol_div*IF(J10=1,0.5,1),0)</f>
        <v/>
      </c>
      <c r="K33" s="17">
        <f>IF(AND(K$3&lt;=S1_sol_div_annees,K$3&lt;=st_central_div_fin),S1_sol_div*IF(K10=1,0.5,1),0)</f>
        <v/>
      </c>
      <c r="L33" s="17">
        <f>IF(AND(L$3&lt;=S1_sol_div_annees,L$3&lt;=st_central_div_fin),S1_sol_div*IF(L10=1,0.5,1),0)</f>
        <v/>
      </c>
      <c r="M33" s="17">
        <f>IF(AND(M$3&lt;=S1_sol_div_annees,M$3&lt;=st_central_div_fin),S1_sol_div*IF(M10=1,0.5,1),0)</f>
        <v/>
      </c>
      <c r="N33" s="17">
        <f>IF(AND(N$3&lt;=S1_sol_div_annees,N$3&lt;=st_central_div_fin),S1_sol_div*IF(N10=1,0.5,1),0)</f>
        <v/>
      </c>
      <c r="O33" s="17">
        <f>IF(AND(O$3&lt;=S1_sol_div_annees,O$3&lt;=st_central_div_fin),S1_sol_div*IF(O10=1,0.5,1),0)</f>
        <v/>
      </c>
      <c r="P33" s="17">
        <f>IF(AND(P$3&lt;=S1_sol_div_annees,P$3&lt;=st_central_div_fin),S1_sol_div*IF(P10=1,0.5,1),0)</f>
        <v/>
      </c>
      <c r="Q33" s="17">
        <f>IF(AND(Q$3&lt;=S1_sol_div_annees,Q$3&lt;=st_central_div_fin),S1_sol_div*IF(Q10=1,0.5,1),0)</f>
        <v/>
      </c>
      <c r="R33" s="17">
        <f>IF(AND(R$3&lt;=S1_sol_div_annees,R$3&lt;=st_central_div_fin),S1_sol_div*IF(R10=1,0.5,1),0)</f>
        <v/>
      </c>
      <c r="S33" s="17">
        <f>IF(AND(S$3&lt;=S1_sol_div_annees,S$3&lt;=st_central_div_fin),S1_sol_div*IF(S10=1,0.5,1),0)</f>
        <v/>
      </c>
      <c r="T33" s="17">
        <f>IF(AND(T$3&lt;=S1_sol_div_annees,T$3&lt;=st_central_div_fin),S1_sol_div*IF(T10=1,0.5,1),0)</f>
        <v/>
      </c>
      <c r="U33" s="17">
        <f>IF(AND(U$3&lt;=S1_sol_div_annees,U$3&lt;=st_central_div_fin),S1_sol_div*IF(U10=1,0.5,1),0)</f>
        <v/>
      </c>
      <c r="V33" s="17">
        <f>IF(AND(V$3&lt;=S1_sol_div_annees,V$3&lt;=st_central_div_fin),S1_sol_div*IF(V10=1,0.5,1),0)</f>
        <v/>
      </c>
      <c r="W33" s="17">
        <f>IF(AND(W$3&lt;=S1_sol_div_annees,W$3&lt;=st_central_div_fin),S1_sol_div*IF(W10=1,0.5,1),0)</f>
        <v/>
      </c>
      <c r="X33" s="17">
        <f>IF(AND(X$3&lt;=S1_sol_div_annees,X$3&lt;=st_central_div_fin),S1_sol_div*IF(X10=1,0.5,1),0)</f>
        <v/>
      </c>
    </row>
    <row r="34">
      <c r="A34" s="2" t="inlineStr">
        <is>
          <t>rdt_dot</t>
        </is>
      </c>
      <c r="B34" s="2" t="inlineStr">
        <is>
          <t>Rendement réel de la dotation de l'année</t>
        </is>
      </c>
      <c r="C34" s="2" t="inlineStr">
        <is>
          <t>%</t>
        </is>
      </c>
      <c r="E34" s="20">
        <f>dot_rendement+st_central_dot_rdt_delta+IF(E10=1,-0.25,0)</f>
        <v/>
      </c>
      <c r="F34" s="20">
        <f>dot_rendement+st_central_dot_rdt_delta+IF(F10=1,-0.25,0)</f>
        <v/>
      </c>
      <c r="G34" s="20">
        <f>dot_rendement+st_central_dot_rdt_delta+IF(G10=1,-0.25,0)</f>
        <v/>
      </c>
      <c r="H34" s="20">
        <f>dot_rendement+st_central_dot_rdt_delta+IF(H10=1,-0.25,0)</f>
        <v/>
      </c>
      <c r="I34" s="20">
        <f>dot_rendement+st_central_dot_rdt_delta+IF(I10=1,-0.25,0)</f>
        <v/>
      </c>
      <c r="J34" s="20">
        <f>dot_rendement+st_central_dot_rdt_delta+IF(J10=1,-0.25,0)</f>
        <v/>
      </c>
      <c r="K34" s="20">
        <f>dot_rendement+st_central_dot_rdt_delta+IF(K10=1,-0.25,0)</f>
        <v/>
      </c>
      <c r="L34" s="20">
        <f>dot_rendement+st_central_dot_rdt_delta+IF(L10=1,-0.25,0)</f>
        <v/>
      </c>
      <c r="M34" s="20">
        <f>dot_rendement+st_central_dot_rdt_delta+IF(M10=1,-0.25,0)</f>
        <v/>
      </c>
      <c r="N34" s="20">
        <f>dot_rendement+st_central_dot_rdt_delta+IF(N10=1,-0.25,0)</f>
        <v/>
      </c>
      <c r="O34" s="20">
        <f>dot_rendement+st_central_dot_rdt_delta+IF(O10=1,-0.25,0)</f>
        <v/>
      </c>
      <c r="P34" s="20">
        <f>dot_rendement+st_central_dot_rdt_delta+IF(P10=1,-0.25,0)</f>
        <v/>
      </c>
      <c r="Q34" s="20">
        <f>dot_rendement+st_central_dot_rdt_delta+IF(Q10=1,-0.25,0)</f>
        <v/>
      </c>
      <c r="R34" s="20">
        <f>dot_rendement+st_central_dot_rdt_delta+IF(R10=1,-0.25,0)</f>
        <v/>
      </c>
      <c r="S34" s="20">
        <f>dot_rendement+st_central_dot_rdt_delta+IF(S10=1,-0.25,0)</f>
        <v/>
      </c>
      <c r="T34" s="20">
        <f>dot_rendement+st_central_dot_rdt_delta+IF(T10=1,-0.25,0)</f>
        <v/>
      </c>
      <c r="U34" s="20">
        <f>dot_rendement+st_central_dot_rdt_delta+IF(U10=1,-0.25,0)</f>
        <v/>
      </c>
      <c r="V34" s="20">
        <f>dot_rendement+st_central_dot_rdt_delta+IF(V10=1,-0.25,0)</f>
        <v/>
      </c>
      <c r="W34" s="20">
        <f>dot_rendement+st_central_dot_rdt_delta+IF(W10=1,-0.25,0)</f>
        <v/>
      </c>
      <c r="X34" s="20">
        <f>dot_rendement+st_central_dot_rdt_delta+IF(X10=1,-0.25,0)</f>
        <v/>
      </c>
    </row>
    <row r="35">
      <c r="A35" s="2" t="inlineStr">
        <is>
          <t>plafond</t>
        </is>
      </c>
      <c r="B35" s="2" t="inlineStr">
        <is>
          <t>Plafond de retrait de la règle de dépense lissée</t>
        </is>
      </c>
      <c r="C35" s="2" t="inlineStr">
        <is>
          <t>€ 2026</t>
        </is>
      </c>
      <c r="D35" s="17">
        <f>dot_taux_net*S1_sol_dotation0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S1_sol_dotation0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S1_sol_reserve0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S1 — solution recommandée, stress test cumulé</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D5*(1+g_salaires+st_cumul_g_sal_extra)</f>
        <v/>
      </c>
      <c r="F5" s="21">
        <f>E5*(1+g_salaires+st_cumul_g_sal_extra)</f>
        <v/>
      </c>
      <c r="G5" s="21">
        <f>F5*(1+g_salaires+st_cumul_g_sal_extra)</f>
        <v/>
      </c>
      <c r="H5" s="21">
        <f>G5*(1+g_salaires+st_cumul_g_sal_extra)</f>
        <v/>
      </c>
      <c r="I5" s="21">
        <f>H5*(1+g_salaires+st_cumul_g_sal_extra)</f>
        <v/>
      </c>
      <c r="J5" s="21">
        <f>I5*(1+g_salaires+st_cumul_g_sal_extra)</f>
        <v/>
      </c>
      <c r="K5" s="21">
        <f>J5*(1+g_salaires+st_cumul_g_sal_extra)</f>
        <v/>
      </c>
      <c r="L5" s="21">
        <f>K5*(1+g_salaires+st_cumul_g_sal_extra)</f>
        <v/>
      </c>
      <c r="M5" s="21">
        <f>L5*(1+g_salaires+st_cumul_g_sal_extra)</f>
        <v/>
      </c>
      <c r="N5" s="21">
        <f>M5*(1+g_salaires+st_cumul_g_sal_extra)</f>
        <v/>
      </c>
      <c r="O5" s="21">
        <f>N5*(1+g_salaires+st_cumul_g_sal_extra)</f>
        <v/>
      </c>
      <c r="P5" s="21">
        <f>O5*(1+g_salaires+st_cumul_g_sal_extra)</f>
        <v/>
      </c>
      <c r="Q5" s="21">
        <f>P5*(1+g_salaires+st_cumul_g_sal_extra)</f>
        <v/>
      </c>
      <c r="R5" s="21">
        <f>Q5*(1+g_salaires+st_cumul_g_sal_extra)</f>
        <v/>
      </c>
      <c r="S5" s="21">
        <f>R5*(1+g_salaires+st_cumul_g_sal_extra)</f>
        <v/>
      </c>
      <c r="T5" s="21">
        <f>S5*(1+g_salaires+st_cumul_g_sal_extra)</f>
        <v/>
      </c>
      <c r="U5" s="21">
        <f>T5*(1+g_salaires+st_cumul_g_sal_extra)</f>
        <v/>
      </c>
      <c r="V5" s="21">
        <f>U5*(1+g_salaires+st_cumul_g_sal_extra)</f>
        <v/>
      </c>
      <c r="W5" s="21">
        <f>V5*(1+g_salaires+st_cumul_g_sal_extra)</f>
        <v/>
      </c>
      <c r="X5" s="21">
        <f>W5*(1+g_salaires+st_cumul_g_sal_extra)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IF(st_cumul_crise_an&gt;0,IF(E$3=st_cumul_crise_an,1,IF(E$3=st_cumul_crise_an+1,2,0)),0)</f>
        <v/>
      </c>
      <c r="F10" s="21">
        <f>IF(st_cumul_crise_an&gt;0,IF(F$3=st_cumul_crise_an,1,IF(F$3=st_cumul_crise_an+1,2,0)),0)</f>
        <v/>
      </c>
      <c r="G10" s="21">
        <f>IF(st_cumul_crise_an&gt;0,IF(G$3=st_cumul_crise_an,1,IF(G$3=st_cumul_crise_an+1,2,0)),0)</f>
        <v/>
      </c>
      <c r="H10" s="21">
        <f>IF(st_cumul_crise_an&gt;0,IF(H$3=st_cumul_crise_an,1,IF(H$3=st_cumul_crise_an+1,2,0)),0)</f>
        <v/>
      </c>
      <c r="I10" s="21">
        <f>IF(st_cumul_crise_an&gt;0,IF(I$3=st_cumul_crise_an,1,IF(I$3=st_cumul_crise_an+1,2,0)),0)</f>
        <v/>
      </c>
      <c r="J10" s="21">
        <f>IF(st_cumul_crise_an&gt;0,IF(J$3=st_cumul_crise_an,1,IF(J$3=st_cumul_crise_an+1,2,0)),0)</f>
        <v/>
      </c>
      <c r="K10" s="21">
        <f>IF(st_cumul_crise_an&gt;0,IF(K$3=st_cumul_crise_an,1,IF(K$3=st_cumul_crise_an+1,2,0)),0)</f>
        <v/>
      </c>
      <c r="L10" s="21">
        <f>IF(st_cumul_crise_an&gt;0,IF(L$3=st_cumul_crise_an,1,IF(L$3=st_cumul_crise_an+1,2,0)),0)</f>
        <v/>
      </c>
      <c r="M10" s="21">
        <f>IF(st_cumul_crise_an&gt;0,IF(M$3=st_cumul_crise_an,1,IF(M$3=st_cumul_crise_an+1,2,0)),0)</f>
        <v/>
      </c>
      <c r="N10" s="21">
        <f>IF(st_cumul_crise_an&gt;0,IF(N$3=st_cumul_crise_an,1,IF(N$3=st_cumul_crise_an+1,2,0)),0)</f>
        <v/>
      </c>
      <c r="O10" s="21">
        <f>IF(st_cumul_crise_an&gt;0,IF(O$3=st_cumul_crise_an,1,IF(O$3=st_cumul_crise_an+1,2,0)),0)</f>
        <v/>
      </c>
      <c r="P10" s="21">
        <f>IF(st_cumul_crise_an&gt;0,IF(P$3=st_cumul_crise_an,1,IF(P$3=st_cumul_crise_an+1,2,0)),0)</f>
        <v/>
      </c>
      <c r="Q10" s="21">
        <f>IF(st_cumul_crise_an&gt;0,IF(Q$3=st_cumul_crise_an,1,IF(Q$3=st_cumul_crise_an+1,2,0)),0)</f>
        <v/>
      </c>
      <c r="R10" s="21">
        <f>IF(st_cumul_crise_an&gt;0,IF(R$3=st_cumul_crise_an,1,IF(R$3=st_cumul_crise_an+1,2,0)),0)</f>
        <v/>
      </c>
      <c r="S10" s="21">
        <f>IF(st_cumul_crise_an&gt;0,IF(S$3=st_cumul_crise_an,1,IF(S$3=st_cumul_crise_an+1,2,0)),0)</f>
        <v/>
      </c>
      <c r="T10" s="21">
        <f>IF(st_cumul_crise_an&gt;0,IF(T$3=st_cumul_crise_an,1,IF(T$3=st_cumul_crise_an+1,2,0)),0)</f>
        <v/>
      </c>
      <c r="U10" s="21">
        <f>IF(st_cumul_crise_an&gt;0,IF(U$3=st_cumul_crise_an,1,IF(U$3=st_cumul_crise_an+1,2,0)),0)</f>
        <v/>
      </c>
      <c r="V10" s="21">
        <f>IF(st_cumul_crise_an&gt;0,IF(V$3=st_cumul_crise_an,1,IF(V$3=st_cumul_crise_an+1,2,0)),0)</f>
        <v/>
      </c>
      <c r="W10" s="21">
        <f>IF(st_cumul_crise_an&gt;0,IF(W$3=st_cumul_crise_an,1,IF(W$3=st_cumul_crise_an+1,2,0)),0)</f>
        <v/>
      </c>
      <c r="X10" s="21">
        <f>IF(st_cumul_crise_an&gt;0,IF(X$3=st_cumul_crise_an,1,IF(X$3=st_cumul_crise_an+1,2,0)),0)</f>
        <v/>
      </c>
    </row>
    <row r="11">
      <c r="A11" s="2" t="inlineStr">
        <is>
          <t>tension</t>
        </is>
      </c>
      <c r="B11" s="2" t="inlineStr">
        <is>
          <t>Tension de trésorerie (1 = réserve sous le seuil de pilotage)</t>
        </is>
      </c>
      <c r="C11" s="2" t="inlineStr">
        <is>
          <t>nombre</t>
        </is>
      </c>
      <c r="E11" s="21">
        <f>pilotage_actif*IF(D40&lt;flex_seuil*bud_total_besoin_S1,1,0)</f>
        <v/>
      </c>
      <c r="F11" s="21">
        <f>pilotage_actif*IF(E40&lt;flex_seuil*bud_total_besoin_S1,1,0)</f>
        <v/>
      </c>
      <c r="G11" s="21">
        <f>pilotage_actif*IF(F40&lt;flex_seuil*bud_total_besoin_S1,1,0)</f>
        <v/>
      </c>
      <c r="H11" s="21">
        <f>pilotage_actif*IF(G40&lt;flex_seuil*bud_total_besoin_S1,1,0)</f>
        <v/>
      </c>
      <c r="I11" s="21">
        <f>pilotage_actif*IF(H40&lt;flex_seuil*bud_total_besoin_S1,1,0)</f>
        <v/>
      </c>
      <c r="J11" s="21">
        <f>pilotage_actif*IF(I40&lt;flex_seuil*bud_total_besoin_S1,1,0)</f>
        <v/>
      </c>
      <c r="K11" s="21">
        <f>pilotage_actif*IF(J40&lt;flex_seuil*bud_total_besoin_S1,1,0)</f>
        <v/>
      </c>
      <c r="L11" s="21">
        <f>pilotage_actif*IF(K40&lt;flex_seuil*bud_total_besoin_S1,1,0)</f>
        <v/>
      </c>
      <c r="M11" s="21">
        <f>pilotage_actif*IF(L40&lt;flex_seuil*bud_total_besoin_S1,1,0)</f>
        <v/>
      </c>
      <c r="N11" s="21">
        <f>pilotage_actif*IF(M40&lt;flex_seuil*bud_total_besoin_S1,1,0)</f>
        <v/>
      </c>
      <c r="O11" s="21">
        <f>pilotage_actif*IF(N40&lt;flex_seuil*bud_total_besoin_S1,1,0)</f>
        <v/>
      </c>
      <c r="P11" s="21">
        <f>pilotage_actif*IF(O40&lt;flex_seuil*bud_total_besoin_S1,1,0)</f>
        <v/>
      </c>
      <c r="Q11" s="21">
        <f>pilotage_actif*IF(P40&lt;flex_seuil*bud_total_besoin_S1,1,0)</f>
        <v/>
      </c>
      <c r="R11" s="21">
        <f>pilotage_actif*IF(Q40&lt;flex_seuil*bud_total_besoin_S1,1,0)</f>
        <v/>
      </c>
      <c r="S11" s="21">
        <f>pilotage_actif*IF(R40&lt;flex_seuil*bud_total_besoin_S1,1,0)</f>
        <v/>
      </c>
      <c r="T11" s="21">
        <f>pilotage_actif*IF(S40&lt;flex_seuil*bud_total_besoin_S1,1,0)</f>
        <v/>
      </c>
      <c r="U11" s="21">
        <f>pilotage_actif*IF(T40&lt;flex_seuil*bud_total_besoin_S1,1,0)</f>
        <v/>
      </c>
      <c r="V11" s="21">
        <f>pilotage_actif*IF(U40&lt;flex_seuil*bud_total_besoin_S1,1,0)</f>
        <v/>
      </c>
      <c r="W11" s="21">
        <f>pilotage_actif*IF(V40&lt;flex_seuil*bud_total_besoin_S1,1,0)</f>
        <v/>
      </c>
      <c r="X11" s="21">
        <f>pilotage_actif*IF(W40&lt;flex_seuil*bud_total_besoin_S1,1,0)</f>
        <v/>
      </c>
    </row>
    <row r="12">
      <c r="A12" s="2" t="inlineStr">
        <is>
          <t>b_pers</t>
        </is>
      </c>
      <c r="B12" s="2" t="inlineStr">
        <is>
          <t>Personnel du domaine</t>
        </is>
      </c>
      <c r="C12" s="2" t="inlineStr">
        <is>
          <t>€ 2026</t>
        </is>
      </c>
      <c r="E12" s="17">
        <f>bud_dont_personnel_S1*E5</f>
        <v/>
      </c>
      <c r="F12" s="17">
        <f>bud_dont_personnel_S1*F5</f>
        <v/>
      </c>
      <c r="G12" s="17">
        <f>bud_dont_personnel_S1*G5</f>
        <v/>
      </c>
      <c r="H12" s="17">
        <f>bud_dont_personnel_S1*H5</f>
        <v/>
      </c>
      <c r="I12" s="17">
        <f>bud_dont_personnel_S1*I5</f>
        <v/>
      </c>
      <c r="J12" s="17">
        <f>bud_dont_personnel_S1*J5</f>
        <v/>
      </c>
      <c r="K12" s="17">
        <f>bud_dont_personnel_S1*K5</f>
        <v/>
      </c>
      <c r="L12" s="17">
        <f>bud_dont_personnel_S1*L5</f>
        <v/>
      </c>
      <c r="M12" s="17">
        <f>bud_dont_personnel_S1*M5</f>
        <v/>
      </c>
      <c r="N12" s="17">
        <f>bud_dont_personnel_S1*N5</f>
        <v/>
      </c>
      <c r="O12" s="17">
        <f>bud_dont_personnel_S1*O5</f>
        <v/>
      </c>
      <c r="P12" s="17">
        <f>bud_dont_personnel_S1*P5</f>
        <v/>
      </c>
      <c r="Q12" s="17">
        <f>bud_dont_personnel_S1*Q5</f>
        <v/>
      </c>
      <c r="R12" s="17">
        <f>bud_dont_personnel_S1*R5</f>
        <v/>
      </c>
      <c r="S12" s="17">
        <f>bud_dont_personnel_S1*S5</f>
        <v/>
      </c>
      <c r="T12" s="17">
        <f>bud_dont_personnel_S1*T5</f>
        <v/>
      </c>
      <c r="U12" s="17">
        <f>bud_dont_personnel_S1*U5</f>
        <v/>
      </c>
      <c r="V12" s="17">
        <f>bud_dont_personnel_S1*V5</f>
        <v/>
      </c>
      <c r="W12" s="17">
        <f>bud_dont_personnel_S1*W5</f>
        <v/>
      </c>
      <c r="X12" s="17">
        <f>bud_dont_personnel_S1*X5</f>
        <v/>
      </c>
    </row>
    <row r="13">
      <c r="A13" s="2" t="inlineStr">
        <is>
          <t>b_energie</t>
        </is>
      </c>
      <c r="B13" s="2" t="inlineStr">
        <is>
          <t>Énergie</t>
        </is>
      </c>
      <c r="C13" s="2" t="inlineStr">
        <is>
          <t>€ 2026</t>
        </is>
      </c>
      <c r="E13" s="17">
        <f>(bud_chauffage_S1+bud_hors_gel_S1+bud_electricite_S1)*E7*IF(AND(E$3&gt;=st_cumul_energie_debut,E$3&lt;=st_cumul_energie_fin),st_cumul_energie_mult,1)</f>
        <v/>
      </c>
      <c r="F13" s="17">
        <f>(bud_chauffage_S1+bud_hors_gel_S1+bud_electricite_S1)*F7*IF(AND(F$3&gt;=st_cumul_energie_debut,F$3&lt;=st_cumul_energie_fin),st_cumul_energie_mult,1)</f>
        <v/>
      </c>
      <c r="G13" s="17">
        <f>(bud_chauffage_S1+bud_hors_gel_S1+bud_electricite_S1)*G7*IF(AND(G$3&gt;=st_cumul_energie_debut,G$3&lt;=st_cumul_energie_fin),st_cumul_energie_mult,1)</f>
        <v/>
      </c>
      <c r="H13" s="17">
        <f>(bud_chauffage_S1+bud_hors_gel_S1+bud_electricite_S1)*H7*IF(AND(H$3&gt;=st_cumul_energie_debut,H$3&lt;=st_cumul_energie_fin),st_cumul_energie_mult,1)</f>
        <v/>
      </c>
      <c r="I13" s="17">
        <f>(bud_chauffage_S1+bud_hors_gel_S1+bud_electricite_S1)*I7*IF(AND(I$3&gt;=st_cumul_energie_debut,I$3&lt;=st_cumul_energie_fin),st_cumul_energie_mult,1)</f>
        <v/>
      </c>
      <c r="J13" s="17">
        <f>(bud_chauffage_S1+bud_hors_gel_S1+bud_electricite_S1)*J7*IF(AND(J$3&gt;=st_cumul_energie_debut,J$3&lt;=st_cumul_energie_fin),st_cumul_energie_mult,1)</f>
        <v/>
      </c>
      <c r="K13" s="17">
        <f>(bud_chauffage_S1+bud_hors_gel_S1+bud_electricite_S1)*K7*IF(AND(K$3&gt;=st_cumul_energie_debut,K$3&lt;=st_cumul_energie_fin),st_cumul_energie_mult,1)</f>
        <v/>
      </c>
      <c r="L13" s="17">
        <f>(bud_chauffage_S1+bud_hors_gel_S1+bud_electricite_S1)*L7*IF(AND(L$3&gt;=st_cumul_energie_debut,L$3&lt;=st_cumul_energie_fin),st_cumul_energie_mult,1)</f>
        <v/>
      </c>
      <c r="M13" s="17">
        <f>(bud_chauffage_S1+bud_hors_gel_S1+bud_electricite_S1)*M7*IF(AND(M$3&gt;=st_cumul_energie_debut,M$3&lt;=st_cumul_energie_fin),st_cumul_energie_mult,1)</f>
        <v/>
      </c>
      <c r="N13" s="17">
        <f>(bud_chauffage_S1+bud_hors_gel_S1+bud_electricite_S1)*N7*IF(AND(N$3&gt;=st_cumul_energie_debut,N$3&lt;=st_cumul_energie_fin),st_cumul_energie_mult,1)</f>
        <v/>
      </c>
      <c r="O13" s="17">
        <f>(bud_chauffage_S1+bud_hors_gel_S1+bud_electricite_S1)*O7*IF(AND(O$3&gt;=st_cumul_energie_debut,O$3&lt;=st_cumul_energie_fin),st_cumul_energie_mult,1)</f>
        <v/>
      </c>
      <c r="P13" s="17">
        <f>(bud_chauffage_S1+bud_hors_gel_S1+bud_electricite_S1)*P7*IF(AND(P$3&gt;=st_cumul_energie_debut,P$3&lt;=st_cumul_energie_fin),st_cumul_energie_mult,1)</f>
        <v/>
      </c>
      <c r="Q13" s="17">
        <f>(bud_chauffage_S1+bud_hors_gel_S1+bud_electricite_S1)*Q7*IF(AND(Q$3&gt;=st_cumul_energie_debut,Q$3&lt;=st_cumul_energie_fin),st_cumul_energie_mult,1)</f>
        <v/>
      </c>
      <c r="R13" s="17">
        <f>(bud_chauffage_S1+bud_hors_gel_S1+bud_electricite_S1)*R7*IF(AND(R$3&gt;=st_cumul_energie_debut,R$3&lt;=st_cumul_energie_fin),st_cumul_energie_mult,1)</f>
        <v/>
      </c>
      <c r="S13" s="17">
        <f>(bud_chauffage_S1+bud_hors_gel_S1+bud_electricite_S1)*S7*IF(AND(S$3&gt;=st_cumul_energie_debut,S$3&lt;=st_cumul_energie_fin),st_cumul_energie_mult,1)</f>
        <v/>
      </c>
      <c r="T13" s="17">
        <f>(bud_chauffage_S1+bud_hors_gel_S1+bud_electricite_S1)*T7*IF(AND(T$3&gt;=st_cumul_energie_debut,T$3&lt;=st_cumul_energie_fin),st_cumul_energie_mult,1)</f>
        <v/>
      </c>
      <c r="U13" s="17">
        <f>(bud_chauffage_S1+bud_hors_gel_S1+bud_electricite_S1)*U7*IF(AND(U$3&gt;=st_cumul_energie_debut,U$3&lt;=st_cumul_energie_fin),st_cumul_energie_mult,1)</f>
        <v/>
      </c>
      <c r="V13" s="17">
        <f>(bud_chauffage_S1+bud_hors_gel_S1+bud_electricite_S1)*V7*IF(AND(V$3&gt;=st_cumul_energie_debut,V$3&lt;=st_cumul_energie_fin),st_cumul_energie_mult,1)</f>
        <v/>
      </c>
      <c r="W13" s="17">
        <f>(bud_chauffage_S1+bud_hors_gel_S1+bud_electricite_S1)*W7*IF(AND(W$3&gt;=st_cumul_energie_debut,W$3&lt;=st_cumul_energie_fin),st_cumul_energie_mult,1)</f>
        <v/>
      </c>
      <c r="X13" s="17">
        <f>(bud_chauffage_S1+bud_hors_gel_S1+bud_electricite_S1)*X7*IF(AND(X$3&gt;=st_cumul_energie_debut,X$3&lt;=st_cumul_energie_fin),st_cumul_energie_mult,1)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bud_total_besoin_S1-bud_dont_personnel_S1-bud_bati_ge_S1-bud_imprevus_travaux_S1-bud_chauffage_S1-bud_hors_gel_S1-bud_electricite_S1</f>
        <v/>
      </c>
      <c r="F14" s="17">
        <f>bud_total_besoin_S1-bud_dont_personnel_S1-bud_bati_ge_S1-bud_imprevus_travaux_S1-bud_chauffage_S1-bud_hors_gel_S1-bud_electricite_S1</f>
        <v/>
      </c>
      <c r="G14" s="17">
        <f>bud_total_besoin_S1-bud_dont_personnel_S1-bud_bati_ge_S1-bud_imprevus_travaux_S1-bud_chauffage_S1-bud_hors_gel_S1-bud_electricite_S1</f>
        <v/>
      </c>
      <c r="H14" s="17">
        <f>bud_total_besoin_S1-bud_dont_personnel_S1-bud_bati_ge_S1-bud_imprevus_travaux_S1-bud_chauffage_S1-bud_hors_gel_S1-bud_electricite_S1</f>
        <v/>
      </c>
      <c r="I14" s="17">
        <f>bud_total_besoin_S1-bud_dont_personnel_S1-bud_bati_ge_S1-bud_imprevus_travaux_S1-bud_chauffage_S1-bud_hors_gel_S1-bud_electricite_S1</f>
        <v/>
      </c>
      <c r="J14" s="17">
        <f>bud_total_besoin_S1-bud_dont_personnel_S1-bud_bati_ge_S1-bud_imprevus_travaux_S1-bud_chauffage_S1-bud_hors_gel_S1-bud_electricite_S1</f>
        <v/>
      </c>
      <c r="K14" s="17">
        <f>bud_total_besoin_S1-bud_dont_personnel_S1-bud_bati_ge_S1-bud_imprevus_travaux_S1-bud_chauffage_S1-bud_hors_gel_S1-bud_electricite_S1</f>
        <v/>
      </c>
      <c r="L14" s="17">
        <f>bud_total_besoin_S1-bud_dont_personnel_S1-bud_bati_ge_S1-bud_imprevus_travaux_S1-bud_chauffage_S1-bud_hors_gel_S1-bud_electricite_S1</f>
        <v/>
      </c>
      <c r="M14" s="17">
        <f>bud_total_besoin_S1-bud_dont_personnel_S1-bud_bati_ge_S1-bud_imprevus_travaux_S1-bud_chauffage_S1-bud_hors_gel_S1-bud_electricite_S1</f>
        <v/>
      </c>
      <c r="N14" s="17">
        <f>bud_total_besoin_S1-bud_dont_personnel_S1-bud_bati_ge_S1-bud_imprevus_travaux_S1-bud_chauffage_S1-bud_hors_gel_S1-bud_electricite_S1</f>
        <v/>
      </c>
      <c r="O14" s="17">
        <f>bud_total_besoin_S1-bud_dont_personnel_S1-bud_bati_ge_S1-bud_imprevus_travaux_S1-bud_chauffage_S1-bud_hors_gel_S1-bud_electricite_S1</f>
        <v/>
      </c>
      <c r="P14" s="17">
        <f>bud_total_besoin_S1-bud_dont_personnel_S1-bud_bati_ge_S1-bud_imprevus_travaux_S1-bud_chauffage_S1-bud_hors_gel_S1-bud_electricite_S1</f>
        <v/>
      </c>
      <c r="Q14" s="17">
        <f>bud_total_besoin_S1-bud_dont_personnel_S1-bud_bati_ge_S1-bud_imprevus_travaux_S1-bud_chauffage_S1-bud_hors_gel_S1-bud_electricite_S1</f>
        <v/>
      </c>
      <c r="R14" s="17">
        <f>bud_total_besoin_S1-bud_dont_personnel_S1-bud_bati_ge_S1-bud_imprevus_travaux_S1-bud_chauffage_S1-bud_hors_gel_S1-bud_electricite_S1</f>
        <v/>
      </c>
      <c r="S14" s="17">
        <f>bud_total_besoin_S1-bud_dont_personnel_S1-bud_bati_ge_S1-bud_imprevus_travaux_S1-bud_chauffage_S1-bud_hors_gel_S1-bud_electricite_S1</f>
        <v/>
      </c>
      <c r="T14" s="17">
        <f>bud_total_besoin_S1-bud_dont_personnel_S1-bud_bati_ge_S1-bud_imprevus_travaux_S1-bud_chauffage_S1-bud_hors_gel_S1-bud_electricite_S1</f>
        <v/>
      </c>
      <c r="U14" s="17">
        <f>bud_total_besoin_S1-bud_dont_personnel_S1-bud_bati_ge_S1-bud_imprevus_travaux_S1-bud_chauffage_S1-bud_hors_gel_S1-bud_electricite_S1</f>
        <v/>
      </c>
      <c r="V14" s="17">
        <f>bud_total_besoin_S1-bud_dont_personnel_S1-bud_bati_ge_S1-bud_imprevus_travaux_S1-bud_chauffage_S1-bud_hors_gel_S1-bud_electricite_S1</f>
        <v/>
      </c>
      <c r="W14" s="17">
        <f>bud_total_besoin_S1-bud_dont_personnel_S1-bud_bati_ge_S1-bud_imprevus_travaux_S1-bud_chauffage_S1-bud_hors_gel_S1-bud_electricite_S1</f>
        <v/>
      </c>
      <c r="X14" s="17">
        <f>bud_total_besoin_S1-bud_dont_personnel_S1-bud_bati_ge_S1-bud_imprevus_travaux_S1-bud_chauffage_S1-bud_hors_gel_S1-bud_electricite_S1</f>
        <v/>
      </c>
    </row>
    <row r="15">
      <c r="A15" s="2" t="inlineStr">
        <is>
          <t>b_ge_prov</t>
        </is>
      </c>
      <c r="B15" s="2" t="inlineStr">
        <is>
          <t>Provision de gros entretien versée au fonds de travaux</t>
        </is>
      </c>
      <c r="C15" s="2" t="inlineStr">
        <is>
          <t>€ 2026</t>
        </is>
      </c>
      <c r="E15" s="17">
        <f>(bud_bati_ge_S1+bud_imprevus_travaux_S1)*E6</f>
        <v/>
      </c>
      <c r="F15" s="17">
        <f>(bud_bati_ge_S1+bud_imprevus_travaux_S1)*F6</f>
        <v/>
      </c>
      <c r="G15" s="17">
        <f>(bud_bati_ge_S1+bud_imprevus_travaux_S1)*G6</f>
        <v/>
      </c>
      <c r="H15" s="17">
        <f>(bud_bati_ge_S1+bud_imprevus_travaux_S1)*H6</f>
        <v/>
      </c>
      <c r="I15" s="17">
        <f>(bud_bati_ge_S1+bud_imprevus_travaux_S1)*I6</f>
        <v/>
      </c>
      <c r="J15" s="17">
        <f>(bud_bati_ge_S1+bud_imprevus_travaux_S1)*J6</f>
        <v/>
      </c>
      <c r="K15" s="17">
        <f>(bud_bati_ge_S1+bud_imprevus_travaux_S1)*K6</f>
        <v/>
      </c>
      <c r="L15" s="17">
        <f>(bud_bati_ge_S1+bud_imprevus_travaux_S1)*L6</f>
        <v/>
      </c>
      <c r="M15" s="17">
        <f>(bud_bati_ge_S1+bud_imprevus_travaux_S1)*M6</f>
        <v/>
      </c>
      <c r="N15" s="17">
        <f>(bud_bati_ge_S1+bud_imprevus_travaux_S1)*N6</f>
        <v/>
      </c>
      <c r="O15" s="17">
        <f>(bud_bati_ge_S1+bud_imprevus_travaux_S1)*O6</f>
        <v/>
      </c>
      <c r="P15" s="17">
        <f>(bud_bati_ge_S1+bud_imprevus_travaux_S1)*P6</f>
        <v/>
      </c>
      <c r="Q15" s="17">
        <f>(bud_bati_ge_S1+bud_imprevus_travaux_S1)*Q6</f>
        <v/>
      </c>
      <c r="R15" s="17">
        <f>(bud_bati_ge_S1+bud_imprevus_travaux_S1)*R6</f>
        <v/>
      </c>
      <c r="S15" s="17">
        <f>(bud_bati_ge_S1+bud_imprevus_travaux_S1)*S6</f>
        <v/>
      </c>
      <c r="T15" s="17">
        <f>(bud_bati_ge_S1+bud_imprevus_travaux_S1)*T6</f>
        <v/>
      </c>
      <c r="U15" s="17">
        <f>(bud_bati_ge_S1+bud_imprevus_travaux_S1)*U6</f>
        <v/>
      </c>
      <c r="V15" s="17">
        <f>(bud_bati_ge_S1+bud_imprevus_travaux_S1)*V6</f>
        <v/>
      </c>
      <c r="W15" s="17">
        <f>(bud_bati_ge_S1+bud_imprevus_travaux_S1)*W6</f>
        <v/>
      </c>
      <c r="X15" s="17">
        <f>(bud_bati_ge_S1+bud_imprevus_travaux_S1)*X6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IF(MOD(E$3,campagne_periode)=0,(D20+E15)*st_cumul_mult_campagne*(1-E11*flex_report),0)</f>
        <v/>
      </c>
      <c r="F17" s="17">
        <f>IF(MOD(F$3,campagne_periode)=0,(E20+F15)*st_cumul_mult_campagne*(1-F11*flex_report),0)</f>
        <v/>
      </c>
      <c r="G17" s="17">
        <f>IF(MOD(G$3,campagne_periode)=0,(F20+G15)*st_cumul_mult_campagne*(1-G11*flex_report),0)</f>
        <v/>
      </c>
      <c r="H17" s="17">
        <f>IF(MOD(H$3,campagne_periode)=0,(G20+H15)*st_cumul_mult_campagne*(1-H11*flex_report),0)</f>
        <v/>
      </c>
      <c r="I17" s="17">
        <f>IF(MOD(I$3,campagne_periode)=0,(H20+I15)*st_cumul_mult_campagne*(1-I11*flex_report),0)</f>
        <v/>
      </c>
      <c r="J17" s="17">
        <f>IF(MOD(J$3,campagne_periode)=0,(I20+J15)*st_cumul_mult_campagne*(1-J11*flex_report),0)</f>
        <v/>
      </c>
      <c r="K17" s="17">
        <f>IF(MOD(K$3,campagne_periode)=0,(J20+K15)*st_cumul_mult_campagne*(1-K11*flex_report),0)</f>
        <v/>
      </c>
      <c r="L17" s="17">
        <f>IF(MOD(L$3,campagne_periode)=0,(K20+L15)*st_cumul_mult_campagne*(1-L11*flex_report),0)</f>
        <v/>
      </c>
      <c r="M17" s="17">
        <f>IF(MOD(M$3,campagne_periode)=0,(L20+M15)*st_cumul_mult_campagne*(1-M11*flex_report),0)</f>
        <v/>
      </c>
      <c r="N17" s="17">
        <f>IF(MOD(N$3,campagne_periode)=0,(M20+N15)*st_cumul_mult_campagne*(1-N11*flex_report),0)</f>
        <v/>
      </c>
      <c r="O17" s="17">
        <f>IF(MOD(O$3,campagne_periode)=0,(N20+O15)*st_cumul_mult_campagne*(1-O11*flex_report),0)</f>
        <v/>
      </c>
      <c r="P17" s="17">
        <f>IF(MOD(P$3,campagne_periode)=0,(O20+P15)*st_cumul_mult_campagne*(1-P11*flex_report),0)</f>
        <v/>
      </c>
      <c r="Q17" s="17">
        <f>IF(MOD(Q$3,campagne_periode)=0,(P20+Q15)*st_cumul_mult_campagne*(1-Q11*flex_report),0)</f>
        <v/>
      </c>
      <c r="R17" s="17">
        <f>IF(MOD(R$3,campagne_periode)=0,(Q20+R15)*st_cumul_mult_campagne*(1-R11*flex_report),0)</f>
        <v/>
      </c>
      <c r="S17" s="17">
        <f>IF(MOD(S$3,campagne_periode)=0,(R20+S15)*st_cumul_mult_campagne*(1-S11*flex_report),0)</f>
        <v/>
      </c>
      <c r="T17" s="17">
        <f>IF(MOD(T$3,campagne_periode)=0,(S20+T15)*st_cumul_mult_campagne*(1-T11*flex_report),0)</f>
        <v/>
      </c>
      <c r="U17" s="17">
        <f>IF(MOD(U$3,campagne_periode)=0,(T20+U15)*st_cumul_mult_campagne*(1-U11*flex_report),0)</f>
        <v/>
      </c>
      <c r="V17" s="17">
        <f>IF(MOD(V$3,campagne_periode)=0,(U20+V15)*st_cumul_mult_campagne*(1-V11*flex_report),0)</f>
        <v/>
      </c>
      <c r="W17" s="17">
        <f>IF(MOD(W$3,campagne_periode)=0,(V20+W15)*st_cumul_mult_campagne*(1-W11*flex_report),0)</f>
        <v/>
      </c>
      <c r="X17" s="17">
        <f>IF(MOD(X$3,campagne_periode)=0,(W20+X15)*st_cumul_mult_campagne*(1-X11*flex_report),0)</f>
        <v/>
      </c>
    </row>
    <row r="18">
      <c r="A18" s="2" t="inlineStr">
        <is>
          <t>choc_trav</t>
        </is>
      </c>
      <c r="B18" s="2" t="inlineStr">
        <is>
          <t>Sinistre ou découverte non assurés</t>
        </is>
      </c>
      <c r="C18" s="2" t="inlineStr">
        <is>
          <t>€ 2026</t>
        </is>
      </c>
      <c r="E18" s="17">
        <f>IF(E$3=st_cumul_choc_trav_an,st_cumul_choc_trav_montant,0)</f>
        <v/>
      </c>
      <c r="F18" s="17">
        <f>IF(F$3=st_cumul_choc_trav_an,st_cumul_choc_trav_montant,0)</f>
        <v/>
      </c>
      <c r="G18" s="17">
        <f>IF(G$3=st_cumul_choc_trav_an,st_cumul_choc_trav_montant,0)</f>
        <v/>
      </c>
      <c r="H18" s="17">
        <f>IF(H$3=st_cumul_choc_trav_an,st_cumul_choc_trav_montant,0)</f>
        <v/>
      </c>
      <c r="I18" s="17">
        <f>IF(I$3=st_cumul_choc_trav_an,st_cumul_choc_trav_montant,0)</f>
        <v/>
      </c>
      <c r="J18" s="17">
        <f>IF(J$3=st_cumul_choc_trav_an,st_cumul_choc_trav_montant,0)</f>
        <v/>
      </c>
      <c r="K18" s="17">
        <f>IF(K$3=st_cumul_choc_trav_an,st_cumul_choc_trav_montant,0)</f>
        <v/>
      </c>
      <c r="L18" s="17">
        <f>IF(L$3=st_cumul_choc_trav_an,st_cumul_choc_trav_montant,0)</f>
        <v/>
      </c>
      <c r="M18" s="17">
        <f>IF(M$3=st_cumul_choc_trav_an,st_cumul_choc_trav_montant,0)</f>
        <v/>
      </c>
      <c r="N18" s="17">
        <f>IF(N$3=st_cumul_choc_trav_an,st_cumul_choc_trav_montant,0)</f>
        <v/>
      </c>
      <c r="O18" s="17">
        <f>IF(O$3=st_cumul_choc_trav_an,st_cumul_choc_trav_montant,0)</f>
        <v/>
      </c>
      <c r="P18" s="17">
        <f>IF(P$3=st_cumul_choc_trav_an,st_cumul_choc_trav_montant,0)</f>
        <v/>
      </c>
      <c r="Q18" s="17">
        <f>IF(Q$3=st_cumul_choc_trav_an,st_cumul_choc_trav_montant,0)</f>
        <v/>
      </c>
      <c r="R18" s="17">
        <f>IF(R$3=st_cumul_choc_trav_an,st_cumul_choc_trav_montant,0)</f>
        <v/>
      </c>
      <c r="S18" s="17">
        <f>IF(S$3=st_cumul_choc_trav_an,st_cumul_choc_trav_montant,0)</f>
        <v/>
      </c>
      <c r="T18" s="17">
        <f>IF(T$3=st_cumul_choc_trav_an,st_cumul_choc_trav_montant,0)</f>
        <v/>
      </c>
      <c r="U18" s="17">
        <f>IF(U$3=st_cumul_choc_trav_an,st_cumul_choc_trav_montant,0)</f>
        <v/>
      </c>
      <c r="V18" s="17">
        <f>IF(V$3=st_cumul_choc_trav_an,st_cumul_choc_trav_montant,0)</f>
        <v/>
      </c>
      <c r="W18" s="17">
        <f>IF(W$3=st_cumul_choc_trav_an,st_cumul_choc_trav_montant,0)</f>
        <v/>
      </c>
      <c r="X18" s="17">
        <f>IF(X$3=st_cumul_choc_trav_an,st_cumul_choc_trav_montant,0)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(S1_ech_log*mot_log_cn+S1_ech_stock*mot_stock_cn+S1_ech_pv*mot_pv_cn+S1_ech_bois*mot_bois_cn)*E22*E8*IF(E$3&gt;=st_cumul_debut_mult,st_cumul_mult_A,1)*IF(E10=1,1-0.05,IF(E10=2,1-0.02,1))</f>
        <v/>
      </c>
      <c r="F23" s="17">
        <f>(S1_ech_log*mot_log_cn+S1_ech_stock*mot_stock_cn+S1_ech_pv*mot_pv_cn+S1_ech_bois*mot_bois_cn)*F22*F8*IF(F$3&gt;=st_cumul_debut_mult,st_cumul_mult_A,1)*IF(F10=1,1-0.05,IF(F10=2,1-0.02,1))</f>
        <v/>
      </c>
      <c r="G23" s="17">
        <f>(S1_ech_log*mot_log_cn+S1_ech_stock*mot_stock_cn+S1_ech_pv*mot_pv_cn+S1_ech_bois*mot_bois_cn)*G22*G8*IF(G$3&gt;=st_cumul_debut_mult,st_cumul_mult_A,1)*IF(G10=1,1-0.05,IF(G10=2,1-0.02,1))</f>
        <v/>
      </c>
      <c r="H23" s="17">
        <f>(S1_ech_log*mot_log_cn+S1_ech_stock*mot_stock_cn+S1_ech_pv*mot_pv_cn+S1_ech_bois*mot_bois_cn)*H22*H8*IF(H$3&gt;=st_cumul_debut_mult,st_cumul_mult_A,1)*IF(H10=1,1-0.05,IF(H10=2,1-0.02,1))</f>
        <v/>
      </c>
      <c r="I23" s="17">
        <f>(S1_ech_log*mot_log_cn+S1_ech_stock*mot_stock_cn+S1_ech_pv*mot_pv_cn+S1_ech_bois*mot_bois_cn)*I22*I8*IF(I$3&gt;=st_cumul_debut_mult,st_cumul_mult_A,1)*IF(I10=1,1-0.05,IF(I10=2,1-0.02,1))</f>
        <v/>
      </c>
      <c r="J23" s="17">
        <f>(S1_ech_log*mot_log_cn+S1_ech_stock*mot_stock_cn+S1_ech_pv*mot_pv_cn+S1_ech_bois*mot_bois_cn)*J22*J8*IF(J$3&gt;=st_cumul_debut_mult,st_cumul_mult_A,1)*IF(J10=1,1-0.05,IF(J10=2,1-0.02,1))</f>
        <v/>
      </c>
      <c r="K23" s="17">
        <f>(S1_ech_log*mot_log_cn+S1_ech_stock*mot_stock_cn+S1_ech_pv*mot_pv_cn+S1_ech_bois*mot_bois_cn)*K22*K8*IF(K$3&gt;=st_cumul_debut_mult,st_cumul_mult_A,1)*IF(K10=1,1-0.05,IF(K10=2,1-0.02,1))</f>
        <v/>
      </c>
      <c r="L23" s="17">
        <f>(S1_ech_log*mot_log_cn+S1_ech_stock*mot_stock_cn+S1_ech_pv*mot_pv_cn+S1_ech_bois*mot_bois_cn)*L22*L8*IF(L$3&gt;=st_cumul_debut_mult,st_cumul_mult_A,1)*IF(L10=1,1-0.05,IF(L10=2,1-0.02,1))</f>
        <v/>
      </c>
      <c r="M23" s="17">
        <f>(S1_ech_log*mot_log_cn+S1_ech_stock*mot_stock_cn+S1_ech_pv*mot_pv_cn+S1_ech_bois*mot_bois_cn)*M22*M8*IF(M$3&gt;=st_cumul_debut_mult,st_cumul_mult_A,1)*IF(M10=1,1-0.05,IF(M10=2,1-0.02,1))</f>
        <v/>
      </c>
      <c r="N23" s="17">
        <f>(S1_ech_log*mot_log_cn+S1_ech_stock*mot_stock_cn+S1_ech_pv*mot_pv_cn+S1_ech_bois*mot_bois_cn)*N22*N8*IF(N$3&gt;=st_cumul_debut_mult,st_cumul_mult_A,1)*IF(N10=1,1-0.05,IF(N10=2,1-0.02,1))</f>
        <v/>
      </c>
      <c r="O23" s="17">
        <f>(S1_ech_log*mot_log_cn+S1_ech_stock*mot_stock_cn+S1_ech_pv*mot_pv_cn+S1_ech_bois*mot_bois_cn)*O22*O8*IF(O$3&gt;=st_cumul_debut_mult,st_cumul_mult_A,1)*IF(O10=1,1-0.05,IF(O10=2,1-0.02,1))</f>
        <v/>
      </c>
      <c r="P23" s="17">
        <f>(S1_ech_log*mot_log_cn+S1_ech_stock*mot_stock_cn+S1_ech_pv*mot_pv_cn+S1_ech_bois*mot_bois_cn)*P22*P8*IF(P$3&gt;=st_cumul_debut_mult,st_cumul_mult_A,1)*IF(P10=1,1-0.05,IF(P10=2,1-0.02,1))</f>
        <v/>
      </c>
      <c r="Q23" s="17">
        <f>(S1_ech_log*mot_log_cn+S1_ech_stock*mot_stock_cn+S1_ech_pv*mot_pv_cn+S1_ech_bois*mot_bois_cn)*Q22*Q8*IF(Q$3&gt;=st_cumul_debut_mult,st_cumul_mult_A,1)*IF(Q10=1,1-0.05,IF(Q10=2,1-0.02,1))</f>
        <v/>
      </c>
      <c r="R23" s="17">
        <f>(S1_ech_log*mot_log_cn+S1_ech_stock*mot_stock_cn+S1_ech_pv*mot_pv_cn+S1_ech_bois*mot_bois_cn)*R22*R8*IF(R$3&gt;=st_cumul_debut_mult,st_cumul_mult_A,1)*IF(R10=1,1-0.05,IF(R10=2,1-0.02,1))</f>
        <v/>
      </c>
      <c r="S23" s="17">
        <f>(S1_ech_log*mot_log_cn+S1_ech_stock*mot_stock_cn+S1_ech_pv*mot_pv_cn+S1_ech_bois*mot_bois_cn)*S22*S8*IF(S$3&gt;=st_cumul_debut_mult,st_cumul_mult_A,1)*IF(S10=1,1-0.05,IF(S10=2,1-0.02,1))</f>
        <v/>
      </c>
      <c r="T23" s="17">
        <f>(S1_ech_log*mot_log_cn+S1_ech_stock*mot_stock_cn+S1_ech_pv*mot_pv_cn+S1_ech_bois*mot_bois_cn)*T22*T8*IF(T$3&gt;=st_cumul_debut_mult,st_cumul_mult_A,1)*IF(T10=1,1-0.05,IF(T10=2,1-0.02,1))</f>
        <v/>
      </c>
      <c r="U23" s="17">
        <f>(S1_ech_log*mot_log_cn+S1_ech_stock*mot_stock_cn+S1_ech_pv*mot_pv_cn+S1_ech_bois*mot_bois_cn)*U22*U8*IF(U$3&gt;=st_cumul_debut_mult,st_cumul_mult_A,1)*IF(U10=1,1-0.05,IF(U10=2,1-0.02,1))</f>
        <v/>
      </c>
      <c r="V23" s="17">
        <f>(S1_ech_log*mot_log_cn+S1_ech_stock*mot_stock_cn+S1_ech_pv*mot_pv_cn+S1_ech_bois*mot_bois_cn)*V22*V8*IF(V$3&gt;=st_cumul_debut_mult,st_cumul_mult_A,1)*IF(V10=1,1-0.05,IF(V10=2,1-0.02,1))</f>
        <v/>
      </c>
      <c r="W23" s="17">
        <f>(S1_ech_log*mot_log_cn+S1_ech_stock*mot_stock_cn+S1_ech_pv*mot_pv_cn+S1_ech_bois*mot_bois_cn)*W22*W8*IF(W$3&gt;=st_cumul_debut_mult,st_cumul_mult_A,1)*IF(W10=1,1-0.05,IF(W10=2,1-0.02,1))</f>
        <v/>
      </c>
      <c r="X23" s="17">
        <f>(S1_ech_log*mot_log_cn+S1_ech_stock*mot_stock_cn+S1_ech_pv*mot_pv_cn+S1_ech_bois*mot_bois_cn)*X22*X8*IF(X$3&gt;=st_cumul_debut_mult,st_cumul_mult_A,1)*IF(X10=1,1-0.05,IF(X10=2,1-0.02,1))</f>
        <v/>
      </c>
    </row>
    <row r="24">
      <c r="A24" s="2" t="inlineStr">
        <is>
          <t>act_B</t>
        </is>
      </c>
      <c r="B24" s="2" t="inlineStr">
        <is>
          <t>Contribution des activités récurrentes opérationnelles (classe B)</t>
        </is>
      </c>
      <c r="C24" s="2" t="inlineStr">
        <is>
          <t>€ 2026</t>
        </is>
      </c>
      <c r="E24" s="17">
        <f>(S1_ech_eq_std*mot_eq_std_cn+S1_ech_eq_ret*mot_eq_ret_cn)*E22*E8*IF(E$3&gt;=st_cumul_debut_mult,st_cumul_mult_B,1)*IF(E10=1,1-0.15,IF(E10=2,1-0.05,1))</f>
        <v/>
      </c>
      <c r="F24" s="17">
        <f>(S1_ech_eq_std*mot_eq_std_cn+S1_ech_eq_ret*mot_eq_ret_cn)*F22*F8*IF(F$3&gt;=st_cumul_debut_mult,st_cumul_mult_B,1)*IF(F10=1,1-0.15,IF(F10=2,1-0.05,1))</f>
        <v/>
      </c>
      <c r="G24" s="17">
        <f>(S1_ech_eq_std*mot_eq_std_cn+S1_ech_eq_ret*mot_eq_ret_cn)*G22*G8*IF(G$3&gt;=st_cumul_debut_mult,st_cumul_mult_B,1)*IF(G10=1,1-0.15,IF(G10=2,1-0.05,1))</f>
        <v/>
      </c>
      <c r="H24" s="17">
        <f>(S1_ech_eq_std*mot_eq_std_cn+S1_ech_eq_ret*mot_eq_ret_cn)*H22*H8*IF(H$3&gt;=st_cumul_debut_mult,st_cumul_mult_B,1)*IF(H10=1,1-0.15,IF(H10=2,1-0.05,1))</f>
        <v/>
      </c>
      <c r="I24" s="17">
        <f>(S1_ech_eq_std*mot_eq_std_cn+S1_ech_eq_ret*mot_eq_ret_cn)*I22*I8*IF(I$3&gt;=st_cumul_debut_mult,st_cumul_mult_B,1)*IF(I10=1,1-0.15,IF(I10=2,1-0.05,1))</f>
        <v/>
      </c>
      <c r="J24" s="17">
        <f>(S1_ech_eq_std*mot_eq_std_cn+S1_ech_eq_ret*mot_eq_ret_cn)*J22*J8*IF(J$3&gt;=st_cumul_debut_mult,st_cumul_mult_B,1)*IF(J10=1,1-0.15,IF(J10=2,1-0.05,1))</f>
        <v/>
      </c>
      <c r="K24" s="17">
        <f>(S1_ech_eq_std*mot_eq_std_cn+S1_ech_eq_ret*mot_eq_ret_cn)*K22*K8*IF(K$3&gt;=st_cumul_debut_mult,st_cumul_mult_B,1)*IF(K10=1,1-0.15,IF(K10=2,1-0.05,1))</f>
        <v/>
      </c>
      <c r="L24" s="17">
        <f>(S1_ech_eq_std*mot_eq_std_cn+S1_ech_eq_ret*mot_eq_ret_cn)*L22*L8*IF(L$3&gt;=st_cumul_debut_mult,st_cumul_mult_B,1)*IF(L10=1,1-0.15,IF(L10=2,1-0.05,1))</f>
        <v/>
      </c>
      <c r="M24" s="17">
        <f>(S1_ech_eq_std*mot_eq_std_cn+S1_ech_eq_ret*mot_eq_ret_cn)*M22*M8*IF(M$3&gt;=st_cumul_debut_mult,st_cumul_mult_B,1)*IF(M10=1,1-0.15,IF(M10=2,1-0.05,1))</f>
        <v/>
      </c>
      <c r="N24" s="17">
        <f>(S1_ech_eq_std*mot_eq_std_cn+S1_ech_eq_ret*mot_eq_ret_cn)*N22*N8*IF(N$3&gt;=st_cumul_debut_mult,st_cumul_mult_B,1)*IF(N10=1,1-0.15,IF(N10=2,1-0.05,1))</f>
        <v/>
      </c>
      <c r="O24" s="17">
        <f>(S1_ech_eq_std*mot_eq_std_cn+S1_ech_eq_ret*mot_eq_ret_cn)*O22*O8*IF(O$3&gt;=st_cumul_debut_mult,st_cumul_mult_B,1)*IF(O10=1,1-0.15,IF(O10=2,1-0.05,1))</f>
        <v/>
      </c>
      <c r="P24" s="17">
        <f>(S1_ech_eq_std*mot_eq_std_cn+S1_ech_eq_ret*mot_eq_ret_cn)*P22*P8*IF(P$3&gt;=st_cumul_debut_mult,st_cumul_mult_B,1)*IF(P10=1,1-0.15,IF(P10=2,1-0.05,1))</f>
        <v/>
      </c>
      <c r="Q24" s="17">
        <f>(S1_ech_eq_std*mot_eq_std_cn+S1_ech_eq_ret*mot_eq_ret_cn)*Q22*Q8*IF(Q$3&gt;=st_cumul_debut_mult,st_cumul_mult_B,1)*IF(Q10=1,1-0.15,IF(Q10=2,1-0.05,1))</f>
        <v/>
      </c>
      <c r="R24" s="17">
        <f>(S1_ech_eq_std*mot_eq_std_cn+S1_ech_eq_ret*mot_eq_ret_cn)*R22*R8*IF(R$3&gt;=st_cumul_debut_mult,st_cumul_mult_B,1)*IF(R10=1,1-0.15,IF(R10=2,1-0.05,1))</f>
        <v/>
      </c>
      <c r="S24" s="17">
        <f>(S1_ech_eq_std*mot_eq_std_cn+S1_ech_eq_ret*mot_eq_ret_cn)*S22*S8*IF(S$3&gt;=st_cumul_debut_mult,st_cumul_mult_B,1)*IF(S10=1,1-0.15,IF(S10=2,1-0.05,1))</f>
        <v/>
      </c>
      <c r="T24" s="17">
        <f>(S1_ech_eq_std*mot_eq_std_cn+S1_ech_eq_ret*mot_eq_ret_cn)*T22*T8*IF(T$3&gt;=st_cumul_debut_mult,st_cumul_mult_B,1)*IF(T10=1,1-0.15,IF(T10=2,1-0.05,1))</f>
        <v/>
      </c>
      <c r="U24" s="17">
        <f>(S1_ech_eq_std*mot_eq_std_cn+S1_ech_eq_ret*mot_eq_ret_cn)*U22*U8*IF(U$3&gt;=st_cumul_debut_mult,st_cumul_mult_B,1)*IF(U10=1,1-0.15,IF(U10=2,1-0.05,1))</f>
        <v/>
      </c>
      <c r="V24" s="17">
        <f>(S1_ech_eq_std*mot_eq_std_cn+S1_ech_eq_ret*mot_eq_ret_cn)*V22*V8*IF(V$3&gt;=st_cumul_debut_mult,st_cumul_mult_B,1)*IF(V10=1,1-0.15,IF(V10=2,1-0.05,1))</f>
        <v/>
      </c>
      <c r="W24" s="17">
        <f>(S1_ech_eq_std*mot_eq_std_cn+S1_ech_eq_ret*mot_eq_ret_cn)*W22*W8*IF(W$3&gt;=st_cumul_debut_mult,st_cumul_mult_B,1)*IF(W10=1,1-0.15,IF(W10=2,1-0.05,1))</f>
        <v/>
      </c>
      <c r="X24" s="17">
        <f>(S1_ech_eq_std*mot_eq_std_cn+S1_ech_eq_ret*mot_eq_ret_cn)*X22*X8*IF(X$3&gt;=st_cumul_debut_mult,st_cumul_mult_B,1)*IF(X10=1,1-0.15,IF(X10=2,1-0.05,1))</f>
        <v/>
      </c>
    </row>
    <row r="25">
      <c r="A25" s="2" t="inlineStr">
        <is>
          <t>act_C</t>
        </is>
      </c>
      <c r="B25" s="2" t="inlineStr">
        <is>
          <t>Contribution des activités occasionnelles (classe C)</t>
        </is>
      </c>
      <c r="C25" s="2" t="inlineStr">
        <is>
          <t>€ 2026</t>
        </is>
      </c>
      <c r="E25" s="17">
        <f>(S1_ech_tourn*mot_tourn_cn)*E22*E8*IF(E$3&gt;=st_cumul_debut_mult,st_cumul_mult_C,1)*IF(E10=1,1-0.8,IF(E10=2,1-0.3,1))</f>
        <v/>
      </c>
      <c r="F25" s="17">
        <f>(S1_ech_tourn*mot_tourn_cn)*F22*F8*IF(F$3&gt;=st_cumul_debut_mult,st_cumul_mult_C,1)*IF(F10=1,1-0.8,IF(F10=2,1-0.3,1))</f>
        <v/>
      </c>
      <c r="G25" s="17">
        <f>(S1_ech_tourn*mot_tourn_cn)*G22*G8*IF(G$3&gt;=st_cumul_debut_mult,st_cumul_mult_C,1)*IF(G10=1,1-0.8,IF(G10=2,1-0.3,1))</f>
        <v/>
      </c>
      <c r="H25" s="17">
        <f>(S1_ech_tourn*mot_tourn_cn)*H22*H8*IF(H$3&gt;=st_cumul_debut_mult,st_cumul_mult_C,1)*IF(H10=1,1-0.8,IF(H10=2,1-0.3,1))</f>
        <v/>
      </c>
      <c r="I25" s="17">
        <f>(S1_ech_tourn*mot_tourn_cn)*I22*I8*IF(I$3&gt;=st_cumul_debut_mult,st_cumul_mult_C,1)*IF(I10=1,1-0.8,IF(I10=2,1-0.3,1))</f>
        <v/>
      </c>
      <c r="J25" s="17">
        <f>(S1_ech_tourn*mot_tourn_cn)*J22*J8*IF(J$3&gt;=st_cumul_debut_mult,st_cumul_mult_C,1)*IF(J10=1,1-0.8,IF(J10=2,1-0.3,1))</f>
        <v/>
      </c>
      <c r="K25" s="17">
        <f>(S1_ech_tourn*mot_tourn_cn)*K22*K8*IF(K$3&gt;=st_cumul_debut_mult,st_cumul_mult_C,1)*IF(K10=1,1-0.8,IF(K10=2,1-0.3,1))</f>
        <v/>
      </c>
      <c r="L25" s="17">
        <f>(S1_ech_tourn*mot_tourn_cn)*L22*L8*IF(L$3&gt;=st_cumul_debut_mult,st_cumul_mult_C,1)*IF(L10=1,1-0.8,IF(L10=2,1-0.3,1))</f>
        <v/>
      </c>
      <c r="M25" s="17">
        <f>(S1_ech_tourn*mot_tourn_cn)*M22*M8*IF(M$3&gt;=st_cumul_debut_mult,st_cumul_mult_C,1)*IF(M10=1,1-0.8,IF(M10=2,1-0.3,1))</f>
        <v/>
      </c>
      <c r="N25" s="17">
        <f>(S1_ech_tourn*mot_tourn_cn)*N22*N8*IF(N$3&gt;=st_cumul_debut_mult,st_cumul_mult_C,1)*IF(N10=1,1-0.8,IF(N10=2,1-0.3,1))</f>
        <v/>
      </c>
      <c r="O25" s="17">
        <f>(S1_ech_tourn*mot_tourn_cn)*O22*O8*IF(O$3&gt;=st_cumul_debut_mult,st_cumul_mult_C,1)*IF(O10=1,1-0.8,IF(O10=2,1-0.3,1))</f>
        <v/>
      </c>
      <c r="P25" s="17">
        <f>(S1_ech_tourn*mot_tourn_cn)*P22*P8*IF(P$3&gt;=st_cumul_debut_mult,st_cumul_mult_C,1)*IF(P10=1,1-0.8,IF(P10=2,1-0.3,1))</f>
        <v/>
      </c>
      <c r="Q25" s="17">
        <f>(S1_ech_tourn*mot_tourn_cn)*Q22*Q8*IF(Q$3&gt;=st_cumul_debut_mult,st_cumul_mult_C,1)*IF(Q10=1,1-0.8,IF(Q10=2,1-0.3,1))</f>
        <v/>
      </c>
      <c r="R25" s="17">
        <f>(S1_ech_tourn*mot_tourn_cn)*R22*R8*IF(R$3&gt;=st_cumul_debut_mult,st_cumul_mult_C,1)*IF(R10=1,1-0.8,IF(R10=2,1-0.3,1))</f>
        <v/>
      </c>
      <c r="S25" s="17">
        <f>(S1_ech_tourn*mot_tourn_cn)*S22*S8*IF(S$3&gt;=st_cumul_debut_mult,st_cumul_mult_C,1)*IF(S10=1,1-0.8,IF(S10=2,1-0.3,1))</f>
        <v/>
      </c>
      <c r="T25" s="17">
        <f>(S1_ech_tourn*mot_tourn_cn)*T22*T8*IF(T$3&gt;=st_cumul_debut_mult,st_cumul_mult_C,1)*IF(T10=1,1-0.8,IF(T10=2,1-0.3,1))</f>
        <v/>
      </c>
      <c r="U25" s="17">
        <f>(S1_ech_tourn*mot_tourn_cn)*U22*U8*IF(U$3&gt;=st_cumul_debut_mult,st_cumul_mult_C,1)*IF(U10=1,1-0.8,IF(U10=2,1-0.3,1))</f>
        <v/>
      </c>
      <c r="V25" s="17">
        <f>(S1_ech_tourn*mot_tourn_cn)*V22*V8*IF(V$3&gt;=st_cumul_debut_mult,st_cumul_mult_C,1)*IF(V10=1,1-0.8,IF(V10=2,1-0.3,1))</f>
        <v/>
      </c>
      <c r="W25" s="17">
        <f>(S1_ech_tourn*mot_tourn_cn)*W22*W8*IF(W$3&gt;=st_cumul_debut_mult,st_cumul_mult_C,1)*IF(W10=1,1-0.8,IF(W10=2,1-0.3,1))</f>
        <v/>
      </c>
      <c r="X25" s="17">
        <f>(S1_ech_tourn*mot_tourn_cn)*X22*X8*IF(X$3&gt;=st_cumul_debut_mult,st_cumul_mult_C,1)*IF(X10=1,1-0.8,IF(X10=2,1-0.3,1))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IF(E$3=1,S1_ech_log*mot_log_inv+S1_ech_stock*stock_capex,0)</f>
        <v/>
      </c>
      <c r="F28" s="17">
        <f>IF(F$3=1,S1_ech_log*mot_log_inv+S1_ech_stock*stock_capex,0)</f>
        <v/>
      </c>
      <c r="G28" s="17">
        <f>IF(G$3=1,S1_ech_log*mot_log_inv+S1_ech_stock*stock_capex,0)</f>
        <v/>
      </c>
      <c r="H28" s="17">
        <f>IF(H$3=1,S1_ech_log*mot_log_inv+S1_ech_stock*stock_capex,0)</f>
        <v/>
      </c>
      <c r="I28" s="17">
        <f>IF(I$3=1,S1_ech_log*mot_log_inv+S1_ech_stock*stock_capex,0)</f>
        <v/>
      </c>
      <c r="J28" s="17">
        <f>IF(J$3=1,S1_ech_log*mot_log_inv+S1_ech_stock*stock_capex,0)</f>
        <v/>
      </c>
      <c r="K28" s="17">
        <f>IF(K$3=1,S1_ech_log*mot_log_inv+S1_ech_stock*stock_capex,0)</f>
        <v/>
      </c>
      <c r="L28" s="17">
        <f>IF(L$3=1,S1_ech_log*mot_log_inv+S1_ech_stock*stock_capex,0)</f>
        <v/>
      </c>
      <c r="M28" s="17">
        <f>IF(M$3=1,S1_ech_log*mot_log_inv+S1_ech_stock*stock_capex,0)</f>
        <v/>
      </c>
      <c r="N28" s="17">
        <f>IF(N$3=1,S1_ech_log*mot_log_inv+S1_ech_stock*stock_capex,0)</f>
        <v/>
      </c>
      <c r="O28" s="17">
        <f>IF(O$3=1,S1_ech_log*mot_log_inv+S1_ech_stock*stock_capex,0)</f>
        <v/>
      </c>
      <c r="P28" s="17">
        <f>IF(P$3=1,S1_ech_log*mot_log_inv+S1_ech_stock*stock_capex,0)</f>
        <v/>
      </c>
      <c r="Q28" s="17">
        <f>IF(Q$3=1,S1_ech_log*mot_log_inv+S1_ech_stock*stock_capex,0)</f>
        <v/>
      </c>
      <c r="R28" s="17">
        <f>IF(R$3=1,S1_ech_log*mot_log_inv+S1_ech_stock*stock_capex,0)</f>
        <v/>
      </c>
      <c r="S28" s="17">
        <f>IF(S$3=1,S1_ech_log*mot_log_inv+S1_ech_stock*stock_capex,0)</f>
        <v/>
      </c>
      <c r="T28" s="17">
        <f>IF(T$3=1,S1_ech_log*mot_log_inv+S1_ech_stock*stock_capex,0)</f>
        <v/>
      </c>
      <c r="U28" s="17">
        <f>IF(U$3=1,S1_ech_log*mot_log_inv+S1_ech_stock*stock_capex,0)</f>
        <v/>
      </c>
      <c r="V28" s="17">
        <f>IF(V$3=1,S1_ech_log*mot_log_inv+S1_ech_stock*stock_capex,0)</f>
        <v/>
      </c>
      <c r="W28" s="17">
        <f>IF(W$3=1,S1_ech_log*mot_log_inv+S1_ech_stock*stock_capex,0)</f>
        <v/>
      </c>
      <c r="X28" s="17">
        <f>IF(X$3=1,S1_ech_log*mot_log_inv+S1_ech_stock*stock_capex,0)</f>
        <v/>
      </c>
    </row>
    <row r="29">
      <c r="A29" s="2" t="inlineStr">
        <is>
          <t>dette</t>
        </is>
      </c>
      <c r="B29" s="2" t="inlineStr">
        <is>
          <t>Annuité de la dette d'acquisition, en euros constants (option)</t>
        </is>
      </c>
      <c r="C29" s="2" t="inlineStr">
        <is>
          <t>€ 2026</t>
        </is>
      </c>
      <c r="E29" s="17">
        <f>dette_active*IF(E$3&lt;=dette_duree,-PMT(dette_taux,dette_duree,S1_prix_achat*dette_quotite)/E9,0)</f>
        <v/>
      </c>
      <c r="F29" s="17">
        <f>dette_active*IF(F$3&lt;=dette_duree,-PMT(dette_taux,dette_duree,S1_prix_achat*dette_quotite)/F9,0)</f>
        <v/>
      </c>
      <c r="G29" s="17">
        <f>dette_active*IF(G$3&lt;=dette_duree,-PMT(dette_taux,dette_duree,S1_prix_achat*dette_quotite)/G9,0)</f>
        <v/>
      </c>
      <c r="H29" s="17">
        <f>dette_active*IF(H$3&lt;=dette_duree,-PMT(dette_taux,dette_duree,S1_prix_achat*dette_quotite)/H9,0)</f>
        <v/>
      </c>
      <c r="I29" s="17">
        <f>dette_active*IF(I$3&lt;=dette_duree,-PMT(dette_taux,dette_duree,S1_prix_achat*dette_quotite)/I9,0)</f>
        <v/>
      </c>
      <c r="J29" s="17">
        <f>dette_active*IF(J$3&lt;=dette_duree,-PMT(dette_taux,dette_duree,S1_prix_achat*dette_quotite)/J9,0)</f>
        <v/>
      </c>
      <c r="K29" s="17">
        <f>dette_active*IF(K$3&lt;=dette_duree,-PMT(dette_taux,dette_duree,S1_prix_achat*dette_quotite)/K9,0)</f>
        <v/>
      </c>
      <c r="L29" s="17">
        <f>dette_active*IF(L$3&lt;=dette_duree,-PMT(dette_taux,dette_duree,S1_prix_achat*dette_quotite)/L9,0)</f>
        <v/>
      </c>
      <c r="M29" s="17">
        <f>dette_active*IF(M$3&lt;=dette_duree,-PMT(dette_taux,dette_duree,S1_prix_achat*dette_quotite)/M9,0)</f>
        <v/>
      </c>
      <c r="N29" s="17">
        <f>dette_active*IF(N$3&lt;=dette_duree,-PMT(dette_taux,dette_duree,S1_prix_achat*dette_quotite)/N9,0)</f>
        <v/>
      </c>
      <c r="O29" s="17">
        <f>dette_active*IF(O$3&lt;=dette_duree,-PMT(dette_taux,dette_duree,S1_prix_achat*dette_quotite)/O9,0)</f>
        <v/>
      </c>
      <c r="P29" s="17">
        <f>dette_active*IF(P$3&lt;=dette_duree,-PMT(dette_taux,dette_duree,S1_prix_achat*dette_quotite)/P9,0)</f>
        <v/>
      </c>
      <c r="Q29" s="17">
        <f>dette_active*IF(Q$3&lt;=dette_duree,-PMT(dette_taux,dette_duree,S1_prix_achat*dette_quotite)/Q9,0)</f>
        <v/>
      </c>
      <c r="R29" s="17">
        <f>dette_active*IF(R$3&lt;=dette_duree,-PMT(dette_taux,dette_duree,S1_prix_achat*dette_quotite)/R9,0)</f>
        <v/>
      </c>
      <c r="S29" s="17">
        <f>dette_active*IF(S$3&lt;=dette_duree,-PMT(dette_taux,dette_duree,S1_prix_achat*dette_quotite)/S9,0)</f>
        <v/>
      </c>
      <c r="T29" s="17">
        <f>dette_active*IF(T$3&lt;=dette_duree,-PMT(dette_taux,dette_duree,S1_prix_achat*dette_quotite)/T9,0)</f>
        <v/>
      </c>
      <c r="U29" s="17">
        <f>dette_active*IF(U$3&lt;=dette_duree,-PMT(dette_taux,dette_duree,S1_prix_achat*dette_quotite)/U9,0)</f>
        <v/>
      </c>
      <c r="V29" s="17">
        <f>dette_active*IF(V$3&lt;=dette_duree,-PMT(dette_taux,dette_duree,S1_prix_achat*dette_quotite)/V9,0)</f>
        <v/>
      </c>
      <c r="W29" s="17">
        <f>dette_active*IF(W$3&lt;=dette_duree,-PMT(dette_taux,dette_duree,S1_prix_achat*dette_quotite)/W9,0)</f>
        <v/>
      </c>
      <c r="X29" s="17">
        <f>dette_active*IF(X$3&lt;=dette_duree,-PMT(dette_taux,dette_duree,S1_prix_achat*dette_quotite)/X9,0)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E11*flex_taux*bud_total_besoin_S1</f>
        <v/>
      </c>
      <c r="F31" s="17">
        <f>F11*flex_taux*bud_total_besoin_S1</f>
        <v/>
      </c>
      <c r="G31" s="17">
        <f>G11*flex_taux*bud_total_besoin_S1</f>
        <v/>
      </c>
      <c r="H31" s="17">
        <f>H11*flex_taux*bud_total_besoin_S1</f>
        <v/>
      </c>
      <c r="I31" s="17">
        <f>I11*flex_taux*bud_total_besoin_S1</f>
        <v/>
      </c>
      <c r="J31" s="17">
        <f>J11*flex_taux*bud_total_besoin_S1</f>
        <v/>
      </c>
      <c r="K31" s="17">
        <f>K11*flex_taux*bud_total_besoin_S1</f>
        <v/>
      </c>
      <c r="L31" s="17">
        <f>L11*flex_taux*bud_total_besoin_S1</f>
        <v/>
      </c>
      <c r="M31" s="17">
        <f>M11*flex_taux*bud_total_besoin_S1</f>
        <v/>
      </c>
      <c r="N31" s="17">
        <f>N11*flex_taux*bud_total_besoin_S1</f>
        <v/>
      </c>
      <c r="O31" s="17">
        <f>O11*flex_taux*bud_total_besoin_S1</f>
        <v/>
      </c>
      <c r="P31" s="17">
        <f>P11*flex_taux*bud_total_besoin_S1</f>
        <v/>
      </c>
      <c r="Q31" s="17">
        <f>Q11*flex_taux*bud_total_besoin_S1</f>
        <v/>
      </c>
      <c r="R31" s="17">
        <f>R11*flex_taux*bud_total_besoin_S1</f>
        <v/>
      </c>
      <c r="S31" s="17">
        <f>S11*flex_taux*bud_total_besoin_S1</f>
        <v/>
      </c>
      <c r="T31" s="17">
        <f>T11*flex_taux*bud_total_besoin_S1</f>
        <v/>
      </c>
      <c r="U31" s="17">
        <f>U11*flex_taux*bud_total_besoin_S1</f>
        <v/>
      </c>
      <c r="V31" s="17">
        <f>V11*flex_taux*bud_total_besoin_S1</f>
        <v/>
      </c>
      <c r="W31" s="17">
        <f>W11*flex_taux*bud_total_besoin_S1</f>
        <v/>
      </c>
      <c r="X31" s="17">
        <f>X11*flex_taux*bud_total_besoin_S1</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IF(AND(E$3&lt;=S1_sol_div_annees,E$3&lt;=st_cumul_div_fin),S1_sol_div*IF(E10=1,0.5,1),0)</f>
        <v/>
      </c>
      <c r="F33" s="17">
        <f>IF(AND(F$3&lt;=S1_sol_div_annees,F$3&lt;=st_cumul_div_fin),S1_sol_div*IF(F10=1,0.5,1),0)</f>
        <v/>
      </c>
      <c r="G33" s="17">
        <f>IF(AND(G$3&lt;=S1_sol_div_annees,G$3&lt;=st_cumul_div_fin),S1_sol_div*IF(G10=1,0.5,1),0)</f>
        <v/>
      </c>
      <c r="H33" s="17">
        <f>IF(AND(H$3&lt;=S1_sol_div_annees,H$3&lt;=st_cumul_div_fin),S1_sol_div*IF(H10=1,0.5,1),0)</f>
        <v/>
      </c>
      <c r="I33" s="17">
        <f>IF(AND(I$3&lt;=S1_sol_div_annees,I$3&lt;=st_cumul_div_fin),S1_sol_div*IF(I10=1,0.5,1),0)</f>
        <v/>
      </c>
      <c r="J33" s="17">
        <f>IF(AND(J$3&lt;=S1_sol_div_annees,J$3&lt;=st_cumul_div_fin),S1_sol_div*IF(J10=1,0.5,1),0)</f>
        <v/>
      </c>
      <c r="K33" s="17">
        <f>IF(AND(K$3&lt;=S1_sol_div_annees,K$3&lt;=st_cumul_div_fin),S1_sol_div*IF(K10=1,0.5,1),0)</f>
        <v/>
      </c>
      <c r="L33" s="17">
        <f>IF(AND(L$3&lt;=S1_sol_div_annees,L$3&lt;=st_cumul_div_fin),S1_sol_div*IF(L10=1,0.5,1),0)</f>
        <v/>
      </c>
      <c r="M33" s="17">
        <f>IF(AND(M$3&lt;=S1_sol_div_annees,M$3&lt;=st_cumul_div_fin),S1_sol_div*IF(M10=1,0.5,1),0)</f>
        <v/>
      </c>
      <c r="N33" s="17">
        <f>IF(AND(N$3&lt;=S1_sol_div_annees,N$3&lt;=st_cumul_div_fin),S1_sol_div*IF(N10=1,0.5,1),0)</f>
        <v/>
      </c>
      <c r="O33" s="17">
        <f>IF(AND(O$3&lt;=S1_sol_div_annees,O$3&lt;=st_cumul_div_fin),S1_sol_div*IF(O10=1,0.5,1),0)</f>
        <v/>
      </c>
      <c r="P33" s="17">
        <f>IF(AND(P$3&lt;=S1_sol_div_annees,P$3&lt;=st_cumul_div_fin),S1_sol_div*IF(P10=1,0.5,1),0)</f>
        <v/>
      </c>
      <c r="Q33" s="17">
        <f>IF(AND(Q$3&lt;=S1_sol_div_annees,Q$3&lt;=st_cumul_div_fin),S1_sol_div*IF(Q10=1,0.5,1),0)</f>
        <v/>
      </c>
      <c r="R33" s="17">
        <f>IF(AND(R$3&lt;=S1_sol_div_annees,R$3&lt;=st_cumul_div_fin),S1_sol_div*IF(R10=1,0.5,1),0)</f>
        <v/>
      </c>
      <c r="S33" s="17">
        <f>IF(AND(S$3&lt;=S1_sol_div_annees,S$3&lt;=st_cumul_div_fin),S1_sol_div*IF(S10=1,0.5,1),0)</f>
        <v/>
      </c>
      <c r="T33" s="17">
        <f>IF(AND(T$3&lt;=S1_sol_div_annees,T$3&lt;=st_cumul_div_fin),S1_sol_div*IF(T10=1,0.5,1),0)</f>
        <v/>
      </c>
      <c r="U33" s="17">
        <f>IF(AND(U$3&lt;=S1_sol_div_annees,U$3&lt;=st_cumul_div_fin),S1_sol_div*IF(U10=1,0.5,1),0)</f>
        <v/>
      </c>
      <c r="V33" s="17">
        <f>IF(AND(V$3&lt;=S1_sol_div_annees,V$3&lt;=st_cumul_div_fin),S1_sol_div*IF(V10=1,0.5,1),0)</f>
        <v/>
      </c>
      <c r="W33" s="17">
        <f>IF(AND(W$3&lt;=S1_sol_div_annees,W$3&lt;=st_cumul_div_fin),S1_sol_div*IF(W10=1,0.5,1),0)</f>
        <v/>
      </c>
      <c r="X33" s="17">
        <f>IF(AND(X$3&lt;=S1_sol_div_annees,X$3&lt;=st_cumul_div_fin),S1_sol_div*IF(X10=1,0.5,1),0)</f>
        <v/>
      </c>
    </row>
    <row r="34">
      <c r="A34" s="2" t="inlineStr">
        <is>
          <t>rdt_dot</t>
        </is>
      </c>
      <c r="B34" s="2" t="inlineStr">
        <is>
          <t>Rendement réel de la dotation de l'année</t>
        </is>
      </c>
      <c r="C34" s="2" t="inlineStr">
        <is>
          <t>%</t>
        </is>
      </c>
      <c r="E34" s="20">
        <f>dot_rendement+st_cumul_dot_rdt_delta+IF(E10=1,-0.25,0)</f>
        <v/>
      </c>
      <c r="F34" s="20">
        <f>dot_rendement+st_cumul_dot_rdt_delta+IF(F10=1,-0.25,0)</f>
        <v/>
      </c>
      <c r="G34" s="20">
        <f>dot_rendement+st_cumul_dot_rdt_delta+IF(G10=1,-0.25,0)</f>
        <v/>
      </c>
      <c r="H34" s="20">
        <f>dot_rendement+st_cumul_dot_rdt_delta+IF(H10=1,-0.25,0)</f>
        <v/>
      </c>
      <c r="I34" s="20">
        <f>dot_rendement+st_cumul_dot_rdt_delta+IF(I10=1,-0.25,0)</f>
        <v/>
      </c>
      <c r="J34" s="20">
        <f>dot_rendement+st_cumul_dot_rdt_delta+IF(J10=1,-0.25,0)</f>
        <v/>
      </c>
      <c r="K34" s="20">
        <f>dot_rendement+st_cumul_dot_rdt_delta+IF(K10=1,-0.25,0)</f>
        <v/>
      </c>
      <c r="L34" s="20">
        <f>dot_rendement+st_cumul_dot_rdt_delta+IF(L10=1,-0.25,0)</f>
        <v/>
      </c>
      <c r="M34" s="20">
        <f>dot_rendement+st_cumul_dot_rdt_delta+IF(M10=1,-0.25,0)</f>
        <v/>
      </c>
      <c r="N34" s="20">
        <f>dot_rendement+st_cumul_dot_rdt_delta+IF(N10=1,-0.25,0)</f>
        <v/>
      </c>
      <c r="O34" s="20">
        <f>dot_rendement+st_cumul_dot_rdt_delta+IF(O10=1,-0.25,0)</f>
        <v/>
      </c>
      <c r="P34" s="20">
        <f>dot_rendement+st_cumul_dot_rdt_delta+IF(P10=1,-0.25,0)</f>
        <v/>
      </c>
      <c r="Q34" s="20">
        <f>dot_rendement+st_cumul_dot_rdt_delta+IF(Q10=1,-0.25,0)</f>
        <v/>
      </c>
      <c r="R34" s="20">
        <f>dot_rendement+st_cumul_dot_rdt_delta+IF(R10=1,-0.25,0)</f>
        <v/>
      </c>
      <c r="S34" s="20">
        <f>dot_rendement+st_cumul_dot_rdt_delta+IF(S10=1,-0.25,0)</f>
        <v/>
      </c>
      <c r="T34" s="20">
        <f>dot_rendement+st_cumul_dot_rdt_delta+IF(T10=1,-0.25,0)</f>
        <v/>
      </c>
      <c r="U34" s="20">
        <f>dot_rendement+st_cumul_dot_rdt_delta+IF(U10=1,-0.25,0)</f>
        <v/>
      </c>
      <c r="V34" s="20">
        <f>dot_rendement+st_cumul_dot_rdt_delta+IF(V10=1,-0.25,0)</f>
        <v/>
      </c>
      <c r="W34" s="20">
        <f>dot_rendement+st_cumul_dot_rdt_delta+IF(W10=1,-0.25,0)</f>
        <v/>
      </c>
      <c r="X34" s="20">
        <f>dot_rendement+st_cumul_dot_rdt_delta+IF(X10=1,-0.25,0)</f>
        <v/>
      </c>
    </row>
    <row r="35">
      <c r="A35" s="2" t="inlineStr">
        <is>
          <t>plafond</t>
        </is>
      </c>
      <c r="B35" s="2" t="inlineStr">
        <is>
          <t>Plafond de retrait de la règle de dépense lissée</t>
        </is>
      </c>
      <c r="C35" s="2" t="inlineStr">
        <is>
          <t>€ 2026</t>
        </is>
      </c>
      <c r="D35" s="17">
        <f>dot_taux_net*S1_sol_dotation0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S1_sol_dotation0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S1_sol_reserve0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S3 — solution recommandée, projection centrale</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D5*(1+g_salaires+st_central_g_sal_extra)</f>
        <v/>
      </c>
      <c r="F5" s="21">
        <f>E5*(1+g_salaires+st_central_g_sal_extra)</f>
        <v/>
      </c>
      <c r="G5" s="21">
        <f>F5*(1+g_salaires+st_central_g_sal_extra)</f>
        <v/>
      </c>
      <c r="H5" s="21">
        <f>G5*(1+g_salaires+st_central_g_sal_extra)</f>
        <v/>
      </c>
      <c r="I5" s="21">
        <f>H5*(1+g_salaires+st_central_g_sal_extra)</f>
        <v/>
      </c>
      <c r="J5" s="21">
        <f>I5*(1+g_salaires+st_central_g_sal_extra)</f>
        <v/>
      </c>
      <c r="K5" s="21">
        <f>J5*(1+g_salaires+st_central_g_sal_extra)</f>
        <v/>
      </c>
      <c r="L5" s="21">
        <f>K5*(1+g_salaires+st_central_g_sal_extra)</f>
        <v/>
      </c>
      <c r="M5" s="21">
        <f>L5*(1+g_salaires+st_central_g_sal_extra)</f>
        <v/>
      </c>
      <c r="N5" s="21">
        <f>M5*(1+g_salaires+st_central_g_sal_extra)</f>
        <v/>
      </c>
      <c r="O5" s="21">
        <f>N5*(1+g_salaires+st_central_g_sal_extra)</f>
        <v/>
      </c>
      <c r="P5" s="21">
        <f>O5*(1+g_salaires+st_central_g_sal_extra)</f>
        <v/>
      </c>
      <c r="Q5" s="21">
        <f>P5*(1+g_salaires+st_central_g_sal_extra)</f>
        <v/>
      </c>
      <c r="R5" s="21">
        <f>Q5*(1+g_salaires+st_central_g_sal_extra)</f>
        <v/>
      </c>
      <c r="S5" s="21">
        <f>R5*(1+g_salaires+st_central_g_sal_extra)</f>
        <v/>
      </c>
      <c r="T5" s="21">
        <f>S5*(1+g_salaires+st_central_g_sal_extra)</f>
        <v/>
      </c>
      <c r="U5" s="21">
        <f>T5*(1+g_salaires+st_central_g_sal_extra)</f>
        <v/>
      </c>
      <c r="V5" s="21">
        <f>U5*(1+g_salaires+st_central_g_sal_extra)</f>
        <v/>
      </c>
      <c r="W5" s="21">
        <f>V5*(1+g_salaires+st_central_g_sal_extra)</f>
        <v/>
      </c>
      <c r="X5" s="21">
        <f>W5*(1+g_salaires+st_central_g_sal_extra)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IF(st_central_crise_an&gt;0,IF(E$3=st_central_crise_an,1,IF(E$3=st_central_crise_an+1,2,0)),0)</f>
        <v/>
      </c>
      <c r="F10" s="21">
        <f>IF(st_central_crise_an&gt;0,IF(F$3=st_central_crise_an,1,IF(F$3=st_central_crise_an+1,2,0)),0)</f>
        <v/>
      </c>
      <c r="G10" s="21">
        <f>IF(st_central_crise_an&gt;0,IF(G$3=st_central_crise_an,1,IF(G$3=st_central_crise_an+1,2,0)),0)</f>
        <v/>
      </c>
      <c r="H10" s="21">
        <f>IF(st_central_crise_an&gt;0,IF(H$3=st_central_crise_an,1,IF(H$3=st_central_crise_an+1,2,0)),0)</f>
        <v/>
      </c>
      <c r="I10" s="21">
        <f>IF(st_central_crise_an&gt;0,IF(I$3=st_central_crise_an,1,IF(I$3=st_central_crise_an+1,2,0)),0)</f>
        <v/>
      </c>
      <c r="J10" s="21">
        <f>IF(st_central_crise_an&gt;0,IF(J$3=st_central_crise_an,1,IF(J$3=st_central_crise_an+1,2,0)),0)</f>
        <v/>
      </c>
      <c r="K10" s="21">
        <f>IF(st_central_crise_an&gt;0,IF(K$3=st_central_crise_an,1,IF(K$3=st_central_crise_an+1,2,0)),0)</f>
        <v/>
      </c>
      <c r="L10" s="21">
        <f>IF(st_central_crise_an&gt;0,IF(L$3=st_central_crise_an,1,IF(L$3=st_central_crise_an+1,2,0)),0)</f>
        <v/>
      </c>
      <c r="M10" s="21">
        <f>IF(st_central_crise_an&gt;0,IF(M$3=st_central_crise_an,1,IF(M$3=st_central_crise_an+1,2,0)),0)</f>
        <v/>
      </c>
      <c r="N10" s="21">
        <f>IF(st_central_crise_an&gt;0,IF(N$3=st_central_crise_an,1,IF(N$3=st_central_crise_an+1,2,0)),0)</f>
        <v/>
      </c>
      <c r="O10" s="21">
        <f>IF(st_central_crise_an&gt;0,IF(O$3=st_central_crise_an,1,IF(O$3=st_central_crise_an+1,2,0)),0)</f>
        <v/>
      </c>
      <c r="P10" s="21">
        <f>IF(st_central_crise_an&gt;0,IF(P$3=st_central_crise_an,1,IF(P$3=st_central_crise_an+1,2,0)),0)</f>
        <v/>
      </c>
      <c r="Q10" s="21">
        <f>IF(st_central_crise_an&gt;0,IF(Q$3=st_central_crise_an,1,IF(Q$3=st_central_crise_an+1,2,0)),0)</f>
        <v/>
      </c>
      <c r="R10" s="21">
        <f>IF(st_central_crise_an&gt;0,IF(R$3=st_central_crise_an,1,IF(R$3=st_central_crise_an+1,2,0)),0)</f>
        <v/>
      </c>
      <c r="S10" s="21">
        <f>IF(st_central_crise_an&gt;0,IF(S$3=st_central_crise_an,1,IF(S$3=st_central_crise_an+1,2,0)),0)</f>
        <v/>
      </c>
      <c r="T10" s="21">
        <f>IF(st_central_crise_an&gt;0,IF(T$3=st_central_crise_an,1,IF(T$3=st_central_crise_an+1,2,0)),0)</f>
        <v/>
      </c>
      <c r="U10" s="21">
        <f>IF(st_central_crise_an&gt;0,IF(U$3=st_central_crise_an,1,IF(U$3=st_central_crise_an+1,2,0)),0)</f>
        <v/>
      </c>
      <c r="V10" s="21">
        <f>IF(st_central_crise_an&gt;0,IF(V$3=st_central_crise_an,1,IF(V$3=st_central_crise_an+1,2,0)),0)</f>
        <v/>
      </c>
      <c r="W10" s="21">
        <f>IF(st_central_crise_an&gt;0,IF(W$3=st_central_crise_an,1,IF(W$3=st_central_crise_an+1,2,0)),0)</f>
        <v/>
      </c>
      <c r="X10" s="21">
        <f>IF(st_central_crise_an&gt;0,IF(X$3=st_central_crise_an,1,IF(X$3=st_central_crise_an+1,2,0)),0)</f>
        <v/>
      </c>
    </row>
    <row r="11">
      <c r="A11" s="2" t="inlineStr">
        <is>
          <t>tension</t>
        </is>
      </c>
      <c r="B11" s="2" t="inlineStr">
        <is>
          <t>Tension de trésorerie (1 = réserve sous le seuil de pilotage)</t>
        </is>
      </c>
      <c r="C11" s="2" t="inlineStr">
        <is>
          <t>nombre</t>
        </is>
      </c>
      <c r="E11" s="21">
        <f>pilotage_actif*IF(D40&lt;flex_seuil*bud_total_besoin_S3,1,0)</f>
        <v/>
      </c>
      <c r="F11" s="21">
        <f>pilotage_actif*IF(E40&lt;flex_seuil*bud_total_besoin_S3,1,0)</f>
        <v/>
      </c>
      <c r="G11" s="21">
        <f>pilotage_actif*IF(F40&lt;flex_seuil*bud_total_besoin_S3,1,0)</f>
        <v/>
      </c>
      <c r="H11" s="21">
        <f>pilotage_actif*IF(G40&lt;flex_seuil*bud_total_besoin_S3,1,0)</f>
        <v/>
      </c>
      <c r="I11" s="21">
        <f>pilotage_actif*IF(H40&lt;flex_seuil*bud_total_besoin_S3,1,0)</f>
        <v/>
      </c>
      <c r="J11" s="21">
        <f>pilotage_actif*IF(I40&lt;flex_seuil*bud_total_besoin_S3,1,0)</f>
        <v/>
      </c>
      <c r="K11" s="21">
        <f>pilotage_actif*IF(J40&lt;flex_seuil*bud_total_besoin_S3,1,0)</f>
        <v/>
      </c>
      <c r="L11" s="21">
        <f>pilotage_actif*IF(K40&lt;flex_seuil*bud_total_besoin_S3,1,0)</f>
        <v/>
      </c>
      <c r="M11" s="21">
        <f>pilotage_actif*IF(L40&lt;flex_seuil*bud_total_besoin_S3,1,0)</f>
        <v/>
      </c>
      <c r="N11" s="21">
        <f>pilotage_actif*IF(M40&lt;flex_seuil*bud_total_besoin_S3,1,0)</f>
        <v/>
      </c>
      <c r="O11" s="21">
        <f>pilotage_actif*IF(N40&lt;flex_seuil*bud_total_besoin_S3,1,0)</f>
        <v/>
      </c>
      <c r="P11" s="21">
        <f>pilotage_actif*IF(O40&lt;flex_seuil*bud_total_besoin_S3,1,0)</f>
        <v/>
      </c>
      <c r="Q11" s="21">
        <f>pilotage_actif*IF(P40&lt;flex_seuil*bud_total_besoin_S3,1,0)</f>
        <v/>
      </c>
      <c r="R11" s="21">
        <f>pilotage_actif*IF(Q40&lt;flex_seuil*bud_total_besoin_S3,1,0)</f>
        <v/>
      </c>
      <c r="S11" s="21">
        <f>pilotage_actif*IF(R40&lt;flex_seuil*bud_total_besoin_S3,1,0)</f>
        <v/>
      </c>
      <c r="T11" s="21">
        <f>pilotage_actif*IF(S40&lt;flex_seuil*bud_total_besoin_S3,1,0)</f>
        <v/>
      </c>
      <c r="U11" s="21">
        <f>pilotage_actif*IF(T40&lt;flex_seuil*bud_total_besoin_S3,1,0)</f>
        <v/>
      </c>
      <c r="V11" s="21">
        <f>pilotage_actif*IF(U40&lt;flex_seuil*bud_total_besoin_S3,1,0)</f>
        <v/>
      </c>
      <c r="W11" s="21">
        <f>pilotage_actif*IF(V40&lt;flex_seuil*bud_total_besoin_S3,1,0)</f>
        <v/>
      </c>
      <c r="X11" s="21">
        <f>pilotage_actif*IF(W40&lt;flex_seuil*bud_total_besoin_S3,1,0)</f>
        <v/>
      </c>
    </row>
    <row r="12">
      <c r="A12" s="2" t="inlineStr">
        <is>
          <t>b_pers</t>
        </is>
      </c>
      <c r="B12" s="2" t="inlineStr">
        <is>
          <t>Personnel du domaine</t>
        </is>
      </c>
      <c r="C12" s="2" t="inlineStr">
        <is>
          <t>€ 2026</t>
        </is>
      </c>
      <c r="E12" s="17">
        <f>bud_dont_personnel_S3*E5</f>
        <v/>
      </c>
      <c r="F12" s="17">
        <f>bud_dont_personnel_S3*F5</f>
        <v/>
      </c>
      <c r="G12" s="17">
        <f>bud_dont_personnel_S3*G5</f>
        <v/>
      </c>
      <c r="H12" s="17">
        <f>bud_dont_personnel_S3*H5</f>
        <v/>
      </c>
      <c r="I12" s="17">
        <f>bud_dont_personnel_S3*I5</f>
        <v/>
      </c>
      <c r="J12" s="17">
        <f>bud_dont_personnel_S3*J5</f>
        <v/>
      </c>
      <c r="K12" s="17">
        <f>bud_dont_personnel_S3*K5</f>
        <v/>
      </c>
      <c r="L12" s="17">
        <f>bud_dont_personnel_S3*L5</f>
        <v/>
      </c>
      <c r="M12" s="17">
        <f>bud_dont_personnel_S3*M5</f>
        <v/>
      </c>
      <c r="N12" s="17">
        <f>bud_dont_personnel_S3*N5</f>
        <v/>
      </c>
      <c r="O12" s="17">
        <f>bud_dont_personnel_S3*O5</f>
        <v/>
      </c>
      <c r="P12" s="17">
        <f>bud_dont_personnel_S3*P5</f>
        <v/>
      </c>
      <c r="Q12" s="17">
        <f>bud_dont_personnel_S3*Q5</f>
        <v/>
      </c>
      <c r="R12" s="17">
        <f>bud_dont_personnel_S3*R5</f>
        <v/>
      </c>
      <c r="S12" s="17">
        <f>bud_dont_personnel_S3*S5</f>
        <v/>
      </c>
      <c r="T12" s="17">
        <f>bud_dont_personnel_S3*T5</f>
        <v/>
      </c>
      <c r="U12" s="17">
        <f>bud_dont_personnel_S3*U5</f>
        <v/>
      </c>
      <c r="V12" s="17">
        <f>bud_dont_personnel_S3*V5</f>
        <v/>
      </c>
      <c r="W12" s="17">
        <f>bud_dont_personnel_S3*W5</f>
        <v/>
      </c>
      <c r="X12" s="17">
        <f>bud_dont_personnel_S3*X5</f>
        <v/>
      </c>
    </row>
    <row r="13">
      <c r="A13" s="2" t="inlineStr">
        <is>
          <t>b_energie</t>
        </is>
      </c>
      <c r="B13" s="2" t="inlineStr">
        <is>
          <t>Énergie</t>
        </is>
      </c>
      <c r="C13" s="2" t="inlineStr">
        <is>
          <t>€ 2026</t>
        </is>
      </c>
      <c r="E13" s="17">
        <f>(bud_chauffage_S3+bud_hors_gel_S3+bud_electricite_S3)*E7*IF(AND(E$3&gt;=st_central_energie_debut,E$3&lt;=st_central_energie_fin),st_central_energie_mult,1)</f>
        <v/>
      </c>
      <c r="F13" s="17">
        <f>(bud_chauffage_S3+bud_hors_gel_S3+bud_electricite_S3)*F7*IF(AND(F$3&gt;=st_central_energie_debut,F$3&lt;=st_central_energie_fin),st_central_energie_mult,1)</f>
        <v/>
      </c>
      <c r="G13" s="17">
        <f>(bud_chauffage_S3+bud_hors_gel_S3+bud_electricite_S3)*G7*IF(AND(G$3&gt;=st_central_energie_debut,G$3&lt;=st_central_energie_fin),st_central_energie_mult,1)</f>
        <v/>
      </c>
      <c r="H13" s="17">
        <f>(bud_chauffage_S3+bud_hors_gel_S3+bud_electricite_S3)*H7*IF(AND(H$3&gt;=st_central_energie_debut,H$3&lt;=st_central_energie_fin),st_central_energie_mult,1)</f>
        <v/>
      </c>
      <c r="I13" s="17">
        <f>(bud_chauffage_S3+bud_hors_gel_S3+bud_electricite_S3)*I7*IF(AND(I$3&gt;=st_central_energie_debut,I$3&lt;=st_central_energie_fin),st_central_energie_mult,1)</f>
        <v/>
      </c>
      <c r="J13" s="17">
        <f>(bud_chauffage_S3+bud_hors_gel_S3+bud_electricite_S3)*J7*IF(AND(J$3&gt;=st_central_energie_debut,J$3&lt;=st_central_energie_fin),st_central_energie_mult,1)</f>
        <v/>
      </c>
      <c r="K13" s="17">
        <f>(bud_chauffage_S3+bud_hors_gel_S3+bud_electricite_S3)*K7*IF(AND(K$3&gt;=st_central_energie_debut,K$3&lt;=st_central_energie_fin),st_central_energie_mult,1)</f>
        <v/>
      </c>
      <c r="L13" s="17">
        <f>(bud_chauffage_S3+bud_hors_gel_S3+bud_electricite_S3)*L7*IF(AND(L$3&gt;=st_central_energie_debut,L$3&lt;=st_central_energie_fin),st_central_energie_mult,1)</f>
        <v/>
      </c>
      <c r="M13" s="17">
        <f>(bud_chauffage_S3+bud_hors_gel_S3+bud_electricite_S3)*M7*IF(AND(M$3&gt;=st_central_energie_debut,M$3&lt;=st_central_energie_fin),st_central_energie_mult,1)</f>
        <v/>
      </c>
      <c r="N13" s="17">
        <f>(bud_chauffage_S3+bud_hors_gel_S3+bud_electricite_S3)*N7*IF(AND(N$3&gt;=st_central_energie_debut,N$3&lt;=st_central_energie_fin),st_central_energie_mult,1)</f>
        <v/>
      </c>
      <c r="O13" s="17">
        <f>(bud_chauffage_S3+bud_hors_gel_S3+bud_electricite_S3)*O7*IF(AND(O$3&gt;=st_central_energie_debut,O$3&lt;=st_central_energie_fin),st_central_energie_mult,1)</f>
        <v/>
      </c>
      <c r="P13" s="17">
        <f>(bud_chauffage_S3+bud_hors_gel_S3+bud_electricite_S3)*P7*IF(AND(P$3&gt;=st_central_energie_debut,P$3&lt;=st_central_energie_fin),st_central_energie_mult,1)</f>
        <v/>
      </c>
      <c r="Q13" s="17">
        <f>(bud_chauffage_S3+bud_hors_gel_S3+bud_electricite_S3)*Q7*IF(AND(Q$3&gt;=st_central_energie_debut,Q$3&lt;=st_central_energie_fin),st_central_energie_mult,1)</f>
        <v/>
      </c>
      <c r="R13" s="17">
        <f>(bud_chauffage_S3+bud_hors_gel_S3+bud_electricite_S3)*R7*IF(AND(R$3&gt;=st_central_energie_debut,R$3&lt;=st_central_energie_fin),st_central_energie_mult,1)</f>
        <v/>
      </c>
      <c r="S13" s="17">
        <f>(bud_chauffage_S3+bud_hors_gel_S3+bud_electricite_S3)*S7*IF(AND(S$3&gt;=st_central_energie_debut,S$3&lt;=st_central_energie_fin),st_central_energie_mult,1)</f>
        <v/>
      </c>
      <c r="T13" s="17">
        <f>(bud_chauffage_S3+bud_hors_gel_S3+bud_electricite_S3)*T7*IF(AND(T$3&gt;=st_central_energie_debut,T$3&lt;=st_central_energie_fin),st_central_energie_mult,1)</f>
        <v/>
      </c>
      <c r="U13" s="17">
        <f>(bud_chauffage_S3+bud_hors_gel_S3+bud_electricite_S3)*U7*IF(AND(U$3&gt;=st_central_energie_debut,U$3&lt;=st_central_energie_fin),st_central_energie_mult,1)</f>
        <v/>
      </c>
      <c r="V13" s="17">
        <f>(bud_chauffage_S3+bud_hors_gel_S3+bud_electricite_S3)*V7*IF(AND(V$3&gt;=st_central_energie_debut,V$3&lt;=st_central_energie_fin),st_central_energie_mult,1)</f>
        <v/>
      </c>
      <c r="W13" s="17">
        <f>(bud_chauffage_S3+bud_hors_gel_S3+bud_electricite_S3)*W7*IF(AND(W$3&gt;=st_central_energie_debut,W$3&lt;=st_central_energie_fin),st_central_energie_mult,1)</f>
        <v/>
      </c>
      <c r="X13" s="17">
        <f>(bud_chauffage_S3+bud_hors_gel_S3+bud_electricite_S3)*X7*IF(AND(X$3&gt;=st_central_energie_debut,X$3&lt;=st_central_energie_fin),st_central_energie_mult,1)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bud_total_besoin_S3-bud_dont_personnel_S3-bud_bati_ge_S3-bud_imprevus_travaux_S3-bud_chauffage_S3-bud_hors_gel_S3-bud_electricite_S3</f>
        <v/>
      </c>
      <c r="F14" s="17">
        <f>bud_total_besoin_S3-bud_dont_personnel_S3-bud_bati_ge_S3-bud_imprevus_travaux_S3-bud_chauffage_S3-bud_hors_gel_S3-bud_electricite_S3</f>
        <v/>
      </c>
      <c r="G14" s="17">
        <f>bud_total_besoin_S3-bud_dont_personnel_S3-bud_bati_ge_S3-bud_imprevus_travaux_S3-bud_chauffage_S3-bud_hors_gel_S3-bud_electricite_S3</f>
        <v/>
      </c>
      <c r="H14" s="17">
        <f>bud_total_besoin_S3-bud_dont_personnel_S3-bud_bati_ge_S3-bud_imprevus_travaux_S3-bud_chauffage_S3-bud_hors_gel_S3-bud_electricite_S3</f>
        <v/>
      </c>
      <c r="I14" s="17">
        <f>bud_total_besoin_S3-bud_dont_personnel_S3-bud_bati_ge_S3-bud_imprevus_travaux_S3-bud_chauffage_S3-bud_hors_gel_S3-bud_electricite_S3</f>
        <v/>
      </c>
      <c r="J14" s="17">
        <f>bud_total_besoin_S3-bud_dont_personnel_S3-bud_bati_ge_S3-bud_imprevus_travaux_S3-bud_chauffage_S3-bud_hors_gel_S3-bud_electricite_S3</f>
        <v/>
      </c>
      <c r="K14" s="17">
        <f>bud_total_besoin_S3-bud_dont_personnel_S3-bud_bati_ge_S3-bud_imprevus_travaux_S3-bud_chauffage_S3-bud_hors_gel_S3-bud_electricite_S3</f>
        <v/>
      </c>
      <c r="L14" s="17">
        <f>bud_total_besoin_S3-bud_dont_personnel_S3-bud_bati_ge_S3-bud_imprevus_travaux_S3-bud_chauffage_S3-bud_hors_gel_S3-bud_electricite_S3</f>
        <v/>
      </c>
      <c r="M14" s="17">
        <f>bud_total_besoin_S3-bud_dont_personnel_S3-bud_bati_ge_S3-bud_imprevus_travaux_S3-bud_chauffage_S3-bud_hors_gel_S3-bud_electricite_S3</f>
        <v/>
      </c>
      <c r="N14" s="17">
        <f>bud_total_besoin_S3-bud_dont_personnel_S3-bud_bati_ge_S3-bud_imprevus_travaux_S3-bud_chauffage_S3-bud_hors_gel_S3-bud_electricite_S3</f>
        <v/>
      </c>
      <c r="O14" s="17">
        <f>bud_total_besoin_S3-bud_dont_personnel_S3-bud_bati_ge_S3-bud_imprevus_travaux_S3-bud_chauffage_S3-bud_hors_gel_S3-bud_electricite_S3</f>
        <v/>
      </c>
      <c r="P14" s="17">
        <f>bud_total_besoin_S3-bud_dont_personnel_S3-bud_bati_ge_S3-bud_imprevus_travaux_S3-bud_chauffage_S3-bud_hors_gel_S3-bud_electricite_S3</f>
        <v/>
      </c>
      <c r="Q14" s="17">
        <f>bud_total_besoin_S3-bud_dont_personnel_S3-bud_bati_ge_S3-bud_imprevus_travaux_S3-bud_chauffage_S3-bud_hors_gel_S3-bud_electricite_S3</f>
        <v/>
      </c>
      <c r="R14" s="17">
        <f>bud_total_besoin_S3-bud_dont_personnel_S3-bud_bati_ge_S3-bud_imprevus_travaux_S3-bud_chauffage_S3-bud_hors_gel_S3-bud_electricite_S3</f>
        <v/>
      </c>
      <c r="S14" s="17">
        <f>bud_total_besoin_S3-bud_dont_personnel_S3-bud_bati_ge_S3-bud_imprevus_travaux_S3-bud_chauffage_S3-bud_hors_gel_S3-bud_electricite_S3</f>
        <v/>
      </c>
      <c r="T14" s="17">
        <f>bud_total_besoin_S3-bud_dont_personnel_S3-bud_bati_ge_S3-bud_imprevus_travaux_S3-bud_chauffage_S3-bud_hors_gel_S3-bud_electricite_S3</f>
        <v/>
      </c>
      <c r="U14" s="17">
        <f>bud_total_besoin_S3-bud_dont_personnel_S3-bud_bati_ge_S3-bud_imprevus_travaux_S3-bud_chauffage_S3-bud_hors_gel_S3-bud_electricite_S3</f>
        <v/>
      </c>
      <c r="V14" s="17">
        <f>bud_total_besoin_S3-bud_dont_personnel_S3-bud_bati_ge_S3-bud_imprevus_travaux_S3-bud_chauffage_S3-bud_hors_gel_S3-bud_electricite_S3</f>
        <v/>
      </c>
      <c r="W14" s="17">
        <f>bud_total_besoin_S3-bud_dont_personnel_S3-bud_bati_ge_S3-bud_imprevus_travaux_S3-bud_chauffage_S3-bud_hors_gel_S3-bud_electricite_S3</f>
        <v/>
      </c>
      <c r="X14" s="17">
        <f>bud_total_besoin_S3-bud_dont_personnel_S3-bud_bati_ge_S3-bud_imprevus_travaux_S3-bud_chauffage_S3-bud_hors_gel_S3-bud_electricite_S3</f>
        <v/>
      </c>
    </row>
    <row r="15">
      <c r="A15" s="2" t="inlineStr">
        <is>
          <t>b_ge_prov</t>
        </is>
      </c>
      <c r="B15" s="2" t="inlineStr">
        <is>
          <t>Provision de gros entretien versée au fonds de travaux</t>
        </is>
      </c>
      <c r="C15" s="2" t="inlineStr">
        <is>
          <t>€ 2026</t>
        </is>
      </c>
      <c r="E15" s="17">
        <f>(bud_bati_ge_S3+bud_imprevus_travaux_S3)*E6</f>
        <v/>
      </c>
      <c r="F15" s="17">
        <f>(bud_bati_ge_S3+bud_imprevus_travaux_S3)*F6</f>
        <v/>
      </c>
      <c r="G15" s="17">
        <f>(bud_bati_ge_S3+bud_imprevus_travaux_S3)*G6</f>
        <v/>
      </c>
      <c r="H15" s="17">
        <f>(bud_bati_ge_S3+bud_imprevus_travaux_S3)*H6</f>
        <v/>
      </c>
      <c r="I15" s="17">
        <f>(bud_bati_ge_S3+bud_imprevus_travaux_S3)*I6</f>
        <v/>
      </c>
      <c r="J15" s="17">
        <f>(bud_bati_ge_S3+bud_imprevus_travaux_S3)*J6</f>
        <v/>
      </c>
      <c r="K15" s="17">
        <f>(bud_bati_ge_S3+bud_imprevus_travaux_S3)*K6</f>
        <v/>
      </c>
      <c r="L15" s="17">
        <f>(bud_bati_ge_S3+bud_imprevus_travaux_S3)*L6</f>
        <v/>
      </c>
      <c r="M15" s="17">
        <f>(bud_bati_ge_S3+bud_imprevus_travaux_S3)*M6</f>
        <v/>
      </c>
      <c r="N15" s="17">
        <f>(bud_bati_ge_S3+bud_imprevus_travaux_S3)*N6</f>
        <v/>
      </c>
      <c r="O15" s="17">
        <f>(bud_bati_ge_S3+bud_imprevus_travaux_S3)*O6</f>
        <v/>
      </c>
      <c r="P15" s="17">
        <f>(bud_bati_ge_S3+bud_imprevus_travaux_S3)*P6</f>
        <v/>
      </c>
      <c r="Q15" s="17">
        <f>(bud_bati_ge_S3+bud_imprevus_travaux_S3)*Q6</f>
        <v/>
      </c>
      <c r="R15" s="17">
        <f>(bud_bati_ge_S3+bud_imprevus_travaux_S3)*R6</f>
        <v/>
      </c>
      <c r="S15" s="17">
        <f>(bud_bati_ge_S3+bud_imprevus_travaux_S3)*S6</f>
        <v/>
      </c>
      <c r="T15" s="17">
        <f>(bud_bati_ge_S3+bud_imprevus_travaux_S3)*T6</f>
        <v/>
      </c>
      <c r="U15" s="17">
        <f>(bud_bati_ge_S3+bud_imprevus_travaux_S3)*U6</f>
        <v/>
      </c>
      <c r="V15" s="17">
        <f>(bud_bati_ge_S3+bud_imprevus_travaux_S3)*V6</f>
        <v/>
      </c>
      <c r="W15" s="17">
        <f>(bud_bati_ge_S3+bud_imprevus_travaux_S3)*W6</f>
        <v/>
      </c>
      <c r="X15" s="17">
        <f>(bud_bati_ge_S3+bud_imprevus_travaux_S3)*X6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IF(MOD(E$3,campagne_periode)=0,(D20+E15)*st_central_mult_campagne*(1-E11*flex_report),0)</f>
        <v/>
      </c>
      <c r="F17" s="17">
        <f>IF(MOD(F$3,campagne_periode)=0,(E20+F15)*st_central_mult_campagne*(1-F11*flex_report),0)</f>
        <v/>
      </c>
      <c r="G17" s="17">
        <f>IF(MOD(G$3,campagne_periode)=0,(F20+G15)*st_central_mult_campagne*(1-G11*flex_report),0)</f>
        <v/>
      </c>
      <c r="H17" s="17">
        <f>IF(MOD(H$3,campagne_periode)=0,(G20+H15)*st_central_mult_campagne*(1-H11*flex_report),0)</f>
        <v/>
      </c>
      <c r="I17" s="17">
        <f>IF(MOD(I$3,campagne_periode)=0,(H20+I15)*st_central_mult_campagne*(1-I11*flex_report),0)</f>
        <v/>
      </c>
      <c r="J17" s="17">
        <f>IF(MOD(J$3,campagne_periode)=0,(I20+J15)*st_central_mult_campagne*(1-J11*flex_report),0)</f>
        <v/>
      </c>
      <c r="K17" s="17">
        <f>IF(MOD(K$3,campagne_periode)=0,(J20+K15)*st_central_mult_campagne*(1-K11*flex_report),0)</f>
        <v/>
      </c>
      <c r="L17" s="17">
        <f>IF(MOD(L$3,campagne_periode)=0,(K20+L15)*st_central_mult_campagne*(1-L11*flex_report),0)</f>
        <v/>
      </c>
      <c r="M17" s="17">
        <f>IF(MOD(M$3,campagne_periode)=0,(L20+M15)*st_central_mult_campagne*(1-M11*flex_report),0)</f>
        <v/>
      </c>
      <c r="N17" s="17">
        <f>IF(MOD(N$3,campagne_periode)=0,(M20+N15)*st_central_mult_campagne*(1-N11*flex_report),0)</f>
        <v/>
      </c>
      <c r="O17" s="17">
        <f>IF(MOD(O$3,campagne_periode)=0,(N20+O15)*st_central_mult_campagne*(1-O11*flex_report),0)</f>
        <v/>
      </c>
      <c r="P17" s="17">
        <f>IF(MOD(P$3,campagne_periode)=0,(O20+P15)*st_central_mult_campagne*(1-P11*flex_report),0)</f>
        <v/>
      </c>
      <c r="Q17" s="17">
        <f>IF(MOD(Q$3,campagne_periode)=0,(P20+Q15)*st_central_mult_campagne*(1-Q11*flex_report),0)</f>
        <v/>
      </c>
      <c r="R17" s="17">
        <f>IF(MOD(R$3,campagne_periode)=0,(Q20+R15)*st_central_mult_campagne*(1-R11*flex_report),0)</f>
        <v/>
      </c>
      <c r="S17" s="17">
        <f>IF(MOD(S$3,campagne_periode)=0,(R20+S15)*st_central_mult_campagne*(1-S11*flex_report),0)</f>
        <v/>
      </c>
      <c r="T17" s="17">
        <f>IF(MOD(T$3,campagne_periode)=0,(S20+T15)*st_central_mult_campagne*(1-T11*flex_report),0)</f>
        <v/>
      </c>
      <c r="U17" s="17">
        <f>IF(MOD(U$3,campagne_periode)=0,(T20+U15)*st_central_mult_campagne*(1-U11*flex_report),0)</f>
        <v/>
      </c>
      <c r="V17" s="17">
        <f>IF(MOD(V$3,campagne_periode)=0,(U20+V15)*st_central_mult_campagne*(1-V11*flex_report),0)</f>
        <v/>
      </c>
      <c r="W17" s="17">
        <f>IF(MOD(W$3,campagne_periode)=0,(V20+W15)*st_central_mult_campagne*(1-W11*flex_report),0)</f>
        <v/>
      </c>
      <c r="X17" s="17">
        <f>IF(MOD(X$3,campagne_periode)=0,(W20+X15)*st_central_mult_campagne*(1-X11*flex_report),0)</f>
        <v/>
      </c>
    </row>
    <row r="18">
      <c r="A18" s="2" t="inlineStr">
        <is>
          <t>choc_trav</t>
        </is>
      </c>
      <c r="B18" s="2" t="inlineStr">
        <is>
          <t>Sinistre ou découverte non assurés</t>
        </is>
      </c>
      <c r="C18" s="2" t="inlineStr">
        <is>
          <t>€ 2026</t>
        </is>
      </c>
      <c r="E18" s="17">
        <f>IF(E$3=st_central_choc_trav_an,st_central_choc_trav_montant,0)</f>
        <v/>
      </c>
      <c r="F18" s="17">
        <f>IF(F$3=st_central_choc_trav_an,st_central_choc_trav_montant,0)</f>
        <v/>
      </c>
      <c r="G18" s="17">
        <f>IF(G$3=st_central_choc_trav_an,st_central_choc_trav_montant,0)</f>
        <v/>
      </c>
      <c r="H18" s="17">
        <f>IF(H$3=st_central_choc_trav_an,st_central_choc_trav_montant,0)</f>
        <v/>
      </c>
      <c r="I18" s="17">
        <f>IF(I$3=st_central_choc_trav_an,st_central_choc_trav_montant,0)</f>
        <v/>
      </c>
      <c r="J18" s="17">
        <f>IF(J$3=st_central_choc_trav_an,st_central_choc_trav_montant,0)</f>
        <v/>
      </c>
      <c r="K18" s="17">
        <f>IF(K$3=st_central_choc_trav_an,st_central_choc_trav_montant,0)</f>
        <v/>
      </c>
      <c r="L18" s="17">
        <f>IF(L$3=st_central_choc_trav_an,st_central_choc_trav_montant,0)</f>
        <v/>
      </c>
      <c r="M18" s="17">
        <f>IF(M$3=st_central_choc_trav_an,st_central_choc_trav_montant,0)</f>
        <v/>
      </c>
      <c r="N18" s="17">
        <f>IF(N$3=st_central_choc_trav_an,st_central_choc_trav_montant,0)</f>
        <v/>
      </c>
      <c r="O18" s="17">
        <f>IF(O$3=st_central_choc_trav_an,st_central_choc_trav_montant,0)</f>
        <v/>
      </c>
      <c r="P18" s="17">
        <f>IF(P$3=st_central_choc_trav_an,st_central_choc_trav_montant,0)</f>
        <v/>
      </c>
      <c r="Q18" s="17">
        <f>IF(Q$3=st_central_choc_trav_an,st_central_choc_trav_montant,0)</f>
        <v/>
      </c>
      <c r="R18" s="17">
        <f>IF(R$3=st_central_choc_trav_an,st_central_choc_trav_montant,0)</f>
        <v/>
      </c>
      <c r="S18" s="17">
        <f>IF(S$3=st_central_choc_trav_an,st_central_choc_trav_montant,0)</f>
        <v/>
      </c>
      <c r="T18" s="17">
        <f>IF(T$3=st_central_choc_trav_an,st_central_choc_trav_montant,0)</f>
        <v/>
      </c>
      <c r="U18" s="17">
        <f>IF(U$3=st_central_choc_trav_an,st_central_choc_trav_montant,0)</f>
        <v/>
      </c>
      <c r="V18" s="17">
        <f>IF(V$3=st_central_choc_trav_an,st_central_choc_trav_montant,0)</f>
        <v/>
      </c>
      <c r="W18" s="17">
        <f>IF(W$3=st_central_choc_trav_an,st_central_choc_trav_montant,0)</f>
        <v/>
      </c>
      <c r="X18" s="17">
        <f>IF(X$3=st_central_choc_trav_an,st_central_choc_trav_montant,0)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(S3_ech_log*mot_log_cn+S3_ech_stock*mot_stock_cn+S3_ech_pv*mot_pv_cn+S3_ech_bois*mot_bois_cn)*E22*E8*IF(E$3&gt;=st_central_debut_mult,st_central_mult_A,1)*IF(E10=1,1-0.05,IF(E10=2,1-0.02,1))</f>
        <v/>
      </c>
      <c r="F23" s="17">
        <f>(S3_ech_log*mot_log_cn+S3_ech_stock*mot_stock_cn+S3_ech_pv*mot_pv_cn+S3_ech_bois*mot_bois_cn)*F22*F8*IF(F$3&gt;=st_central_debut_mult,st_central_mult_A,1)*IF(F10=1,1-0.05,IF(F10=2,1-0.02,1))</f>
        <v/>
      </c>
      <c r="G23" s="17">
        <f>(S3_ech_log*mot_log_cn+S3_ech_stock*mot_stock_cn+S3_ech_pv*mot_pv_cn+S3_ech_bois*mot_bois_cn)*G22*G8*IF(G$3&gt;=st_central_debut_mult,st_central_mult_A,1)*IF(G10=1,1-0.05,IF(G10=2,1-0.02,1))</f>
        <v/>
      </c>
      <c r="H23" s="17">
        <f>(S3_ech_log*mot_log_cn+S3_ech_stock*mot_stock_cn+S3_ech_pv*mot_pv_cn+S3_ech_bois*mot_bois_cn)*H22*H8*IF(H$3&gt;=st_central_debut_mult,st_central_mult_A,1)*IF(H10=1,1-0.05,IF(H10=2,1-0.02,1))</f>
        <v/>
      </c>
      <c r="I23" s="17">
        <f>(S3_ech_log*mot_log_cn+S3_ech_stock*mot_stock_cn+S3_ech_pv*mot_pv_cn+S3_ech_bois*mot_bois_cn)*I22*I8*IF(I$3&gt;=st_central_debut_mult,st_central_mult_A,1)*IF(I10=1,1-0.05,IF(I10=2,1-0.02,1))</f>
        <v/>
      </c>
      <c r="J23" s="17">
        <f>(S3_ech_log*mot_log_cn+S3_ech_stock*mot_stock_cn+S3_ech_pv*mot_pv_cn+S3_ech_bois*mot_bois_cn)*J22*J8*IF(J$3&gt;=st_central_debut_mult,st_central_mult_A,1)*IF(J10=1,1-0.05,IF(J10=2,1-0.02,1))</f>
        <v/>
      </c>
      <c r="K23" s="17">
        <f>(S3_ech_log*mot_log_cn+S3_ech_stock*mot_stock_cn+S3_ech_pv*mot_pv_cn+S3_ech_bois*mot_bois_cn)*K22*K8*IF(K$3&gt;=st_central_debut_mult,st_central_mult_A,1)*IF(K10=1,1-0.05,IF(K10=2,1-0.02,1))</f>
        <v/>
      </c>
      <c r="L23" s="17">
        <f>(S3_ech_log*mot_log_cn+S3_ech_stock*mot_stock_cn+S3_ech_pv*mot_pv_cn+S3_ech_bois*mot_bois_cn)*L22*L8*IF(L$3&gt;=st_central_debut_mult,st_central_mult_A,1)*IF(L10=1,1-0.05,IF(L10=2,1-0.02,1))</f>
        <v/>
      </c>
      <c r="M23" s="17">
        <f>(S3_ech_log*mot_log_cn+S3_ech_stock*mot_stock_cn+S3_ech_pv*mot_pv_cn+S3_ech_bois*mot_bois_cn)*M22*M8*IF(M$3&gt;=st_central_debut_mult,st_central_mult_A,1)*IF(M10=1,1-0.05,IF(M10=2,1-0.02,1))</f>
        <v/>
      </c>
      <c r="N23" s="17">
        <f>(S3_ech_log*mot_log_cn+S3_ech_stock*mot_stock_cn+S3_ech_pv*mot_pv_cn+S3_ech_bois*mot_bois_cn)*N22*N8*IF(N$3&gt;=st_central_debut_mult,st_central_mult_A,1)*IF(N10=1,1-0.05,IF(N10=2,1-0.02,1))</f>
        <v/>
      </c>
      <c r="O23" s="17">
        <f>(S3_ech_log*mot_log_cn+S3_ech_stock*mot_stock_cn+S3_ech_pv*mot_pv_cn+S3_ech_bois*mot_bois_cn)*O22*O8*IF(O$3&gt;=st_central_debut_mult,st_central_mult_A,1)*IF(O10=1,1-0.05,IF(O10=2,1-0.02,1))</f>
        <v/>
      </c>
      <c r="P23" s="17">
        <f>(S3_ech_log*mot_log_cn+S3_ech_stock*mot_stock_cn+S3_ech_pv*mot_pv_cn+S3_ech_bois*mot_bois_cn)*P22*P8*IF(P$3&gt;=st_central_debut_mult,st_central_mult_A,1)*IF(P10=1,1-0.05,IF(P10=2,1-0.02,1))</f>
        <v/>
      </c>
      <c r="Q23" s="17">
        <f>(S3_ech_log*mot_log_cn+S3_ech_stock*mot_stock_cn+S3_ech_pv*mot_pv_cn+S3_ech_bois*mot_bois_cn)*Q22*Q8*IF(Q$3&gt;=st_central_debut_mult,st_central_mult_A,1)*IF(Q10=1,1-0.05,IF(Q10=2,1-0.02,1))</f>
        <v/>
      </c>
      <c r="R23" s="17">
        <f>(S3_ech_log*mot_log_cn+S3_ech_stock*mot_stock_cn+S3_ech_pv*mot_pv_cn+S3_ech_bois*mot_bois_cn)*R22*R8*IF(R$3&gt;=st_central_debut_mult,st_central_mult_A,1)*IF(R10=1,1-0.05,IF(R10=2,1-0.02,1))</f>
        <v/>
      </c>
      <c r="S23" s="17">
        <f>(S3_ech_log*mot_log_cn+S3_ech_stock*mot_stock_cn+S3_ech_pv*mot_pv_cn+S3_ech_bois*mot_bois_cn)*S22*S8*IF(S$3&gt;=st_central_debut_mult,st_central_mult_A,1)*IF(S10=1,1-0.05,IF(S10=2,1-0.02,1))</f>
        <v/>
      </c>
      <c r="T23" s="17">
        <f>(S3_ech_log*mot_log_cn+S3_ech_stock*mot_stock_cn+S3_ech_pv*mot_pv_cn+S3_ech_bois*mot_bois_cn)*T22*T8*IF(T$3&gt;=st_central_debut_mult,st_central_mult_A,1)*IF(T10=1,1-0.05,IF(T10=2,1-0.02,1))</f>
        <v/>
      </c>
      <c r="U23" s="17">
        <f>(S3_ech_log*mot_log_cn+S3_ech_stock*mot_stock_cn+S3_ech_pv*mot_pv_cn+S3_ech_bois*mot_bois_cn)*U22*U8*IF(U$3&gt;=st_central_debut_mult,st_central_mult_A,1)*IF(U10=1,1-0.05,IF(U10=2,1-0.02,1))</f>
        <v/>
      </c>
      <c r="V23" s="17">
        <f>(S3_ech_log*mot_log_cn+S3_ech_stock*mot_stock_cn+S3_ech_pv*mot_pv_cn+S3_ech_bois*mot_bois_cn)*V22*V8*IF(V$3&gt;=st_central_debut_mult,st_central_mult_A,1)*IF(V10=1,1-0.05,IF(V10=2,1-0.02,1))</f>
        <v/>
      </c>
      <c r="W23" s="17">
        <f>(S3_ech_log*mot_log_cn+S3_ech_stock*mot_stock_cn+S3_ech_pv*mot_pv_cn+S3_ech_bois*mot_bois_cn)*W22*W8*IF(W$3&gt;=st_central_debut_mult,st_central_mult_A,1)*IF(W10=1,1-0.05,IF(W10=2,1-0.02,1))</f>
        <v/>
      </c>
      <c r="X23" s="17">
        <f>(S3_ech_log*mot_log_cn+S3_ech_stock*mot_stock_cn+S3_ech_pv*mot_pv_cn+S3_ech_bois*mot_bois_cn)*X22*X8*IF(X$3&gt;=st_central_debut_mult,st_central_mult_A,1)*IF(X10=1,1-0.05,IF(X10=2,1-0.02,1))</f>
        <v/>
      </c>
    </row>
    <row r="24">
      <c r="A24" s="2" t="inlineStr">
        <is>
          <t>act_B</t>
        </is>
      </c>
      <c r="B24" s="2" t="inlineStr">
        <is>
          <t>Contribution des activités récurrentes opérationnelles (classe B)</t>
        </is>
      </c>
      <c r="C24" s="2" t="inlineStr">
        <is>
          <t>€ 2026</t>
        </is>
      </c>
      <c r="E24" s="17">
        <f>(S3_ech_eq_std*mot_eq_std_cn+S3_ech_eq_ret*mot_eq_ret_cn)*E22*E8*IF(E$3&gt;=st_central_debut_mult,st_central_mult_B,1)*IF(E10=1,1-0.15,IF(E10=2,1-0.05,1))</f>
        <v/>
      </c>
      <c r="F24" s="17">
        <f>(S3_ech_eq_std*mot_eq_std_cn+S3_ech_eq_ret*mot_eq_ret_cn)*F22*F8*IF(F$3&gt;=st_central_debut_mult,st_central_mult_B,1)*IF(F10=1,1-0.15,IF(F10=2,1-0.05,1))</f>
        <v/>
      </c>
      <c r="G24" s="17">
        <f>(S3_ech_eq_std*mot_eq_std_cn+S3_ech_eq_ret*mot_eq_ret_cn)*G22*G8*IF(G$3&gt;=st_central_debut_mult,st_central_mult_B,1)*IF(G10=1,1-0.15,IF(G10=2,1-0.05,1))</f>
        <v/>
      </c>
      <c r="H24" s="17">
        <f>(S3_ech_eq_std*mot_eq_std_cn+S3_ech_eq_ret*mot_eq_ret_cn)*H22*H8*IF(H$3&gt;=st_central_debut_mult,st_central_mult_B,1)*IF(H10=1,1-0.15,IF(H10=2,1-0.05,1))</f>
        <v/>
      </c>
      <c r="I24" s="17">
        <f>(S3_ech_eq_std*mot_eq_std_cn+S3_ech_eq_ret*mot_eq_ret_cn)*I22*I8*IF(I$3&gt;=st_central_debut_mult,st_central_mult_B,1)*IF(I10=1,1-0.15,IF(I10=2,1-0.05,1))</f>
        <v/>
      </c>
      <c r="J24" s="17">
        <f>(S3_ech_eq_std*mot_eq_std_cn+S3_ech_eq_ret*mot_eq_ret_cn)*J22*J8*IF(J$3&gt;=st_central_debut_mult,st_central_mult_B,1)*IF(J10=1,1-0.15,IF(J10=2,1-0.05,1))</f>
        <v/>
      </c>
      <c r="K24" s="17">
        <f>(S3_ech_eq_std*mot_eq_std_cn+S3_ech_eq_ret*mot_eq_ret_cn)*K22*K8*IF(K$3&gt;=st_central_debut_mult,st_central_mult_B,1)*IF(K10=1,1-0.15,IF(K10=2,1-0.05,1))</f>
        <v/>
      </c>
      <c r="L24" s="17">
        <f>(S3_ech_eq_std*mot_eq_std_cn+S3_ech_eq_ret*mot_eq_ret_cn)*L22*L8*IF(L$3&gt;=st_central_debut_mult,st_central_mult_B,1)*IF(L10=1,1-0.15,IF(L10=2,1-0.05,1))</f>
        <v/>
      </c>
      <c r="M24" s="17">
        <f>(S3_ech_eq_std*mot_eq_std_cn+S3_ech_eq_ret*mot_eq_ret_cn)*M22*M8*IF(M$3&gt;=st_central_debut_mult,st_central_mult_B,1)*IF(M10=1,1-0.15,IF(M10=2,1-0.05,1))</f>
        <v/>
      </c>
      <c r="N24" s="17">
        <f>(S3_ech_eq_std*mot_eq_std_cn+S3_ech_eq_ret*mot_eq_ret_cn)*N22*N8*IF(N$3&gt;=st_central_debut_mult,st_central_mult_B,1)*IF(N10=1,1-0.15,IF(N10=2,1-0.05,1))</f>
        <v/>
      </c>
      <c r="O24" s="17">
        <f>(S3_ech_eq_std*mot_eq_std_cn+S3_ech_eq_ret*mot_eq_ret_cn)*O22*O8*IF(O$3&gt;=st_central_debut_mult,st_central_mult_B,1)*IF(O10=1,1-0.15,IF(O10=2,1-0.05,1))</f>
        <v/>
      </c>
      <c r="P24" s="17">
        <f>(S3_ech_eq_std*mot_eq_std_cn+S3_ech_eq_ret*mot_eq_ret_cn)*P22*P8*IF(P$3&gt;=st_central_debut_mult,st_central_mult_B,1)*IF(P10=1,1-0.15,IF(P10=2,1-0.05,1))</f>
        <v/>
      </c>
      <c r="Q24" s="17">
        <f>(S3_ech_eq_std*mot_eq_std_cn+S3_ech_eq_ret*mot_eq_ret_cn)*Q22*Q8*IF(Q$3&gt;=st_central_debut_mult,st_central_mult_B,1)*IF(Q10=1,1-0.15,IF(Q10=2,1-0.05,1))</f>
        <v/>
      </c>
      <c r="R24" s="17">
        <f>(S3_ech_eq_std*mot_eq_std_cn+S3_ech_eq_ret*mot_eq_ret_cn)*R22*R8*IF(R$3&gt;=st_central_debut_mult,st_central_mult_B,1)*IF(R10=1,1-0.15,IF(R10=2,1-0.05,1))</f>
        <v/>
      </c>
      <c r="S24" s="17">
        <f>(S3_ech_eq_std*mot_eq_std_cn+S3_ech_eq_ret*mot_eq_ret_cn)*S22*S8*IF(S$3&gt;=st_central_debut_mult,st_central_mult_B,1)*IF(S10=1,1-0.15,IF(S10=2,1-0.05,1))</f>
        <v/>
      </c>
      <c r="T24" s="17">
        <f>(S3_ech_eq_std*mot_eq_std_cn+S3_ech_eq_ret*mot_eq_ret_cn)*T22*T8*IF(T$3&gt;=st_central_debut_mult,st_central_mult_B,1)*IF(T10=1,1-0.15,IF(T10=2,1-0.05,1))</f>
        <v/>
      </c>
      <c r="U24" s="17">
        <f>(S3_ech_eq_std*mot_eq_std_cn+S3_ech_eq_ret*mot_eq_ret_cn)*U22*U8*IF(U$3&gt;=st_central_debut_mult,st_central_mult_B,1)*IF(U10=1,1-0.15,IF(U10=2,1-0.05,1))</f>
        <v/>
      </c>
      <c r="V24" s="17">
        <f>(S3_ech_eq_std*mot_eq_std_cn+S3_ech_eq_ret*mot_eq_ret_cn)*V22*V8*IF(V$3&gt;=st_central_debut_mult,st_central_mult_B,1)*IF(V10=1,1-0.15,IF(V10=2,1-0.05,1))</f>
        <v/>
      </c>
      <c r="W24" s="17">
        <f>(S3_ech_eq_std*mot_eq_std_cn+S3_ech_eq_ret*mot_eq_ret_cn)*W22*W8*IF(W$3&gt;=st_central_debut_mult,st_central_mult_B,1)*IF(W10=1,1-0.15,IF(W10=2,1-0.05,1))</f>
        <v/>
      </c>
      <c r="X24" s="17">
        <f>(S3_ech_eq_std*mot_eq_std_cn+S3_ech_eq_ret*mot_eq_ret_cn)*X22*X8*IF(X$3&gt;=st_central_debut_mult,st_central_mult_B,1)*IF(X10=1,1-0.15,IF(X10=2,1-0.05,1))</f>
        <v/>
      </c>
    </row>
    <row r="25">
      <c r="A25" s="2" t="inlineStr">
        <is>
          <t>act_C</t>
        </is>
      </c>
      <c r="B25" s="2" t="inlineStr">
        <is>
          <t>Contribution des activités occasionnelles (classe C)</t>
        </is>
      </c>
      <c r="C25" s="2" t="inlineStr">
        <is>
          <t>€ 2026</t>
        </is>
      </c>
      <c r="E25" s="17">
        <f>(S3_ech_tourn*mot_tourn_cn)*E22*E8*IF(E$3&gt;=st_central_debut_mult,st_central_mult_C,1)*IF(E10=1,1-0.8,IF(E10=2,1-0.3,1))</f>
        <v/>
      </c>
      <c r="F25" s="17">
        <f>(S3_ech_tourn*mot_tourn_cn)*F22*F8*IF(F$3&gt;=st_central_debut_mult,st_central_mult_C,1)*IF(F10=1,1-0.8,IF(F10=2,1-0.3,1))</f>
        <v/>
      </c>
      <c r="G25" s="17">
        <f>(S3_ech_tourn*mot_tourn_cn)*G22*G8*IF(G$3&gt;=st_central_debut_mult,st_central_mult_C,1)*IF(G10=1,1-0.8,IF(G10=2,1-0.3,1))</f>
        <v/>
      </c>
      <c r="H25" s="17">
        <f>(S3_ech_tourn*mot_tourn_cn)*H22*H8*IF(H$3&gt;=st_central_debut_mult,st_central_mult_C,1)*IF(H10=1,1-0.8,IF(H10=2,1-0.3,1))</f>
        <v/>
      </c>
      <c r="I25" s="17">
        <f>(S3_ech_tourn*mot_tourn_cn)*I22*I8*IF(I$3&gt;=st_central_debut_mult,st_central_mult_C,1)*IF(I10=1,1-0.8,IF(I10=2,1-0.3,1))</f>
        <v/>
      </c>
      <c r="J25" s="17">
        <f>(S3_ech_tourn*mot_tourn_cn)*J22*J8*IF(J$3&gt;=st_central_debut_mult,st_central_mult_C,1)*IF(J10=1,1-0.8,IF(J10=2,1-0.3,1))</f>
        <v/>
      </c>
      <c r="K25" s="17">
        <f>(S3_ech_tourn*mot_tourn_cn)*K22*K8*IF(K$3&gt;=st_central_debut_mult,st_central_mult_C,1)*IF(K10=1,1-0.8,IF(K10=2,1-0.3,1))</f>
        <v/>
      </c>
      <c r="L25" s="17">
        <f>(S3_ech_tourn*mot_tourn_cn)*L22*L8*IF(L$3&gt;=st_central_debut_mult,st_central_mult_C,1)*IF(L10=1,1-0.8,IF(L10=2,1-0.3,1))</f>
        <v/>
      </c>
      <c r="M25" s="17">
        <f>(S3_ech_tourn*mot_tourn_cn)*M22*M8*IF(M$3&gt;=st_central_debut_mult,st_central_mult_C,1)*IF(M10=1,1-0.8,IF(M10=2,1-0.3,1))</f>
        <v/>
      </c>
      <c r="N25" s="17">
        <f>(S3_ech_tourn*mot_tourn_cn)*N22*N8*IF(N$3&gt;=st_central_debut_mult,st_central_mult_C,1)*IF(N10=1,1-0.8,IF(N10=2,1-0.3,1))</f>
        <v/>
      </c>
      <c r="O25" s="17">
        <f>(S3_ech_tourn*mot_tourn_cn)*O22*O8*IF(O$3&gt;=st_central_debut_mult,st_central_mult_C,1)*IF(O10=1,1-0.8,IF(O10=2,1-0.3,1))</f>
        <v/>
      </c>
      <c r="P25" s="17">
        <f>(S3_ech_tourn*mot_tourn_cn)*P22*P8*IF(P$3&gt;=st_central_debut_mult,st_central_mult_C,1)*IF(P10=1,1-0.8,IF(P10=2,1-0.3,1))</f>
        <v/>
      </c>
      <c r="Q25" s="17">
        <f>(S3_ech_tourn*mot_tourn_cn)*Q22*Q8*IF(Q$3&gt;=st_central_debut_mult,st_central_mult_C,1)*IF(Q10=1,1-0.8,IF(Q10=2,1-0.3,1))</f>
        <v/>
      </c>
      <c r="R25" s="17">
        <f>(S3_ech_tourn*mot_tourn_cn)*R22*R8*IF(R$3&gt;=st_central_debut_mult,st_central_mult_C,1)*IF(R10=1,1-0.8,IF(R10=2,1-0.3,1))</f>
        <v/>
      </c>
      <c r="S25" s="17">
        <f>(S3_ech_tourn*mot_tourn_cn)*S22*S8*IF(S$3&gt;=st_central_debut_mult,st_central_mult_C,1)*IF(S10=1,1-0.8,IF(S10=2,1-0.3,1))</f>
        <v/>
      </c>
      <c r="T25" s="17">
        <f>(S3_ech_tourn*mot_tourn_cn)*T22*T8*IF(T$3&gt;=st_central_debut_mult,st_central_mult_C,1)*IF(T10=1,1-0.8,IF(T10=2,1-0.3,1))</f>
        <v/>
      </c>
      <c r="U25" s="17">
        <f>(S3_ech_tourn*mot_tourn_cn)*U22*U8*IF(U$3&gt;=st_central_debut_mult,st_central_mult_C,1)*IF(U10=1,1-0.8,IF(U10=2,1-0.3,1))</f>
        <v/>
      </c>
      <c r="V25" s="17">
        <f>(S3_ech_tourn*mot_tourn_cn)*V22*V8*IF(V$3&gt;=st_central_debut_mult,st_central_mult_C,1)*IF(V10=1,1-0.8,IF(V10=2,1-0.3,1))</f>
        <v/>
      </c>
      <c r="W25" s="17">
        <f>(S3_ech_tourn*mot_tourn_cn)*W22*W8*IF(W$3&gt;=st_central_debut_mult,st_central_mult_C,1)*IF(W10=1,1-0.8,IF(W10=2,1-0.3,1))</f>
        <v/>
      </c>
      <c r="X25" s="17">
        <f>(S3_ech_tourn*mot_tourn_cn)*X22*X8*IF(X$3&gt;=st_central_debut_mult,st_central_mult_C,1)*IF(X10=1,1-0.8,IF(X10=2,1-0.3,1))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IF(E$3=1,S3_ech_log*mot_log_inv+S3_ech_stock*stock_capex,0)</f>
        <v/>
      </c>
      <c r="F28" s="17">
        <f>IF(F$3=1,S3_ech_log*mot_log_inv+S3_ech_stock*stock_capex,0)</f>
        <v/>
      </c>
      <c r="G28" s="17">
        <f>IF(G$3=1,S3_ech_log*mot_log_inv+S3_ech_stock*stock_capex,0)</f>
        <v/>
      </c>
      <c r="H28" s="17">
        <f>IF(H$3=1,S3_ech_log*mot_log_inv+S3_ech_stock*stock_capex,0)</f>
        <v/>
      </c>
      <c r="I28" s="17">
        <f>IF(I$3=1,S3_ech_log*mot_log_inv+S3_ech_stock*stock_capex,0)</f>
        <v/>
      </c>
      <c r="J28" s="17">
        <f>IF(J$3=1,S3_ech_log*mot_log_inv+S3_ech_stock*stock_capex,0)</f>
        <v/>
      </c>
      <c r="K28" s="17">
        <f>IF(K$3=1,S3_ech_log*mot_log_inv+S3_ech_stock*stock_capex,0)</f>
        <v/>
      </c>
      <c r="L28" s="17">
        <f>IF(L$3=1,S3_ech_log*mot_log_inv+S3_ech_stock*stock_capex,0)</f>
        <v/>
      </c>
      <c r="M28" s="17">
        <f>IF(M$3=1,S3_ech_log*mot_log_inv+S3_ech_stock*stock_capex,0)</f>
        <v/>
      </c>
      <c r="N28" s="17">
        <f>IF(N$3=1,S3_ech_log*mot_log_inv+S3_ech_stock*stock_capex,0)</f>
        <v/>
      </c>
      <c r="O28" s="17">
        <f>IF(O$3=1,S3_ech_log*mot_log_inv+S3_ech_stock*stock_capex,0)</f>
        <v/>
      </c>
      <c r="P28" s="17">
        <f>IF(P$3=1,S3_ech_log*mot_log_inv+S3_ech_stock*stock_capex,0)</f>
        <v/>
      </c>
      <c r="Q28" s="17">
        <f>IF(Q$3=1,S3_ech_log*mot_log_inv+S3_ech_stock*stock_capex,0)</f>
        <v/>
      </c>
      <c r="R28" s="17">
        <f>IF(R$3=1,S3_ech_log*mot_log_inv+S3_ech_stock*stock_capex,0)</f>
        <v/>
      </c>
      <c r="S28" s="17">
        <f>IF(S$3=1,S3_ech_log*mot_log_inv+S3_ech_stock*stock_capex,0)</f>
        <v/>
      </c>
      <c r="T28" s="17">
        <f>IF(T$3=1,S3_ech_log*mot_log_inv+S3_ech_stock*stock_capex,0)</f>
        <v/>
      </c>
      <c r="U28" s="17">
        <f>IF(U$3=1,S3_ech_log*mot_log_inv+S3_ech_stock*stock_capex,0)</f>
        <v/>
      </c>
      <c r="V28" s="17">
        <f>IF(V$3=1,S3_ech_log*mot_log_inv+S3_ech_stock*stock_capex,0)</f>
        <v/>
      </c>
      <c r="W28" s="17">
        <f>IF(W$3=1,S3_ech_log*mot_log_inv+S3_ech_stock*stock_capex,0)</f>
        <v/>
      </c>
      <c r="X28" s="17">
        <f>IF(X$3=1,S3_ech_log*mot_log_inv+S3_ech_stock*stock_capex,0)</f>
        <v/>
      </c>
    </row>
    <row r="29">
      <c r="A29" s="2" t="inlineStr">
        <is>
          <t>dette</t>
        </is>
      </c>
      <c r="B29" s="2" t="inlineStr">
        <is>
          <t>Annuité de la dette d'acquisition, en euros constants (option)</t>
        </is>
      </c>
      <c r="C29" s="2" t="inlineStr">
        <is>
          <t>€ 2026</t>
        </is>
      </c>
      <c r="E29" s="17">
        <f>dette_active*IF(E$3&lt;=dette_duree,-PMT(dette_taux,dette_duree,S3_prix_achat*dette_quotite)/E9,0)</f>
        <v/>
      </c>
      <c r="F29" s="17">
        <f>dette_active*IF(F$3&lt;=dette_duree,-PMT(dette_taux,dette_duree,S3_prix_achat*dette_quotite)/F9,0)</f>
        <v/>
      </c>
      <c r="G29" s="17">
        <f>dette_active*IF(G$3&lt;=dette_duree,-PMT(dette_taux,dette_duree,S3_prix_achat*dette_quotite)/G9,0)</f>
        <v/>
      </c>
      <c r="H29" s="17">
        <f>dette_active*IF(H$3&lt;=dette_duree,-PMT(dette_taux,dette_duree,S3_prix_achat*dette_quotite)/H9,0)</f>
        <v/>
      </c>
      <c r="I29" s="17">
        <f>dette_active*IF(I$3&lt;=dette_duree,-PMT(dette_taux,dette_duree,S3_prix_achat*dette_quotite)/I9,0)</f>
        <v/>
      </c>
      <c r="J29" s="17">
        <f>dette_active*IF(J$3&lt;=dette_duree,-PMT(dette_taux,dette_duree,S3_prix_achat*dette_quotite)/J9,0)</f>
        <v/>
      </c>
      <c r="K29" s="17">
        <f>dette_active*IF(K$3&lt;=dette_duree,-PMT(dette_taux,dette_duree,S3_prix_achat*dette_quotite)/K9,0)</f>
        <v/>
      </c>
      <c r="L29" s="17">
        <f>dette_active*IF(L$3&lt;=dette_duree,-PMT(dette_taux,dette_duree,S3_prix_achat*dette_quotite)/L9,0)</f>
        <v/>
      </c>
      <c r="M29" s="17">
        <f>dette_active*IF(M$3&lt;=dette_duree,-PMT(dette_taux,dette_duree,S3_prix_achat*dette_quotite)/M9,0)</f>
        <v/>
      </c>
      <c r="N29" s="17">
        <f>dette_active*IF(N$3&lt;=dette_duree,-PMT(dette_taux,dette_duree,S3_prix_achat*dette_quotite)/N9,0)</f>
        <v/>
      </c>
      <c r="O29" s="17">
        <f>dette_active*IF(O$3&lt;=dette_duree,-PMT(dette_taux,dette_duree,S3_prix_achat*dette_quotite)/O9,0)</f>
        <v/>
      </c>
      <c r="P29" s="17">
        <f>dette_active*IF(P$3&lt;=dette_duree,-PMT(dette_taux,dette_duree,S3_prix_achat*dette_quotite)/P9,0)</f>
        <v/>
      </c>
      <c r="Q29" s="17">
        <f>dette_active*IF(Q$3&lt;=dette_duree,-PMT(dette_taux,dette_duree,S3_prix_achat*dette_quotite)/Q9,0)</f>
        <v/>
      </c>
      <c r="R29" s="17">
        <f>dette_active*IF(R$3&lt;=dette_duree,-PMT(dette_taux,dette_duree,S3_prix_achat*dette_quotite)/R9,0)</f>
        <v/>
      </c>
      <c r="S29" s="17">
        <f>dette_active*IF(S$3&lt;=dette_duree,-PMT(dette_taux,dette_duree,S3_prix_achat*dette_quotite)/S9,0)</f>
        <v/>
      </c>
      <c r="T29" s="17">
        <f>dette_active*IF(T$3&lt;=dette_duree,-PMT(dette_taux,dette_duree,S3_prix_achat*dette_quotite)/T9,0)</f>
        <v/>
      </c>
      <c r="U29" s="17">
        <f>dette_active*IF(U$3&lt;=dette_duree,-PMT(dette_taux,dette_duree,S3_prix_achat*dette_quotite)/U9,0)</f>
        <v/>
      </c>
      <c r="V29" s="17">
        <f>dette_active*IF(V$3&lt;=dette_duree,-PMT(dette_taux,dette_duree,S3_prix_achat*dette_quotite)/V9,0)</f>
        <v/>
      </c>
      <c r="W29" s="17">
        <f>dette_active*IF(W$3&lt;=dette_duree,-PMT(dette_taux,dette_duree,S3_prix_achat*dette_quotite)/W9,0)</f>
        <v/>
      </c>
      <c r="X29" s="17">
        <f>dette_active*IF(X$3&lt;=dette_duree,-PMT(dette_taux,dette_duree,S3_prix_achat*dette_quotite)/X9,0)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E11*flex_taux*bud_total_besoin_S3</f>
        <v/>
      </c>
      <c r="F31" s="17">
        <f>F11*flex_taux*bud_total_besoin_S3</f>
        <v/>
      </c>
      <c r="G31" s="17">
        <f>G11*flex_taux*bud_total_besoin_S3</f>
        <v/>
      </c>
      <c r="H31" s="17">
        <f>H11*flex_taux*bud_total_besoin_S3</f>
        <v/>
      </c>
      <c r="I31" s="17">
        <f>I11*flex_taux*bud_total_besoin_S3</f>
        <v/>
      </c>
      <c r="J31" s="17">
        <f>J11*flex_taux*bud_total_besoin_S3</f>
        <v/>
      </c>
      <c r="K31" s="17">
        <f>K11*flex_taux*bud_total_besoin_S3</f>
        <v/>
      </c>
      <c r="L31" s="17">
        <f>L11*flex_taux*bud_total_besoin_S3</f>
        <v/>
      </c>
      <c r="M31" s="17">
        <f>M11*flex_taux*bud_total_besoin_S3</f>
        <v/>
      </c>
      <c r="N31" s="17">
        <f>N11*flex_taux*bud_total_besoin_S3</f>
        <v/>
      </c>
      <c r="O31" s="17">
        <f>O11*flex_taux*bud_total_besoin_S3</f>
        <v/>
      </c>
      <c r="P31" s="17">
        <f>P11*flex_taux*bud_total_besoin_S3</f>
        <v/>
      </c>
      <c r="Q31" s="17">
        <f>Q11*flex_taux*bud_total_besoin_S3</f>
        <v/>
      </c>
      <c r="R31" s="17">
        <f>R11*flex_taux*bud_total_besoin_S3</f>
        <v/>
      </c>
      <c r="S31" s="17">
        <f>S11*flex_taux*bud_total_besoin_S3</f>
        <v/>
      </c>
      <c r="T31" s="17">
        <f>T11*flex_taux*bud_total_besoin_S3</f>
        <v/>
      </c>
      <c r="U31" s="17">
        <f>U11*flex_taux*bud_total_besoin_S3</f>
        <v/>
      </c>
      <c r="V31" s="17">
        <f>V11*flex_taux*bud_total_besoin_S3</f>
        <v/>
      </c>
      <c r="W31" s="17">
        <f>W11*flex_taux*bud_total_besoin_S3</f>
        <v/>
      </c>
      <c r="X31" s="17">
        <f>X11*flex_taux*bud_total_besoin_S3</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IF(AND(E$3&lt;=S3_sol_div_annees,E$3&lt;=st_central_div_fin),S3_sol_div*IF(E10=1,0.5,1),0)</f>
        <v/>
      </c>
      <c r="F33" s="17">
        <f>IF(AND(F$3&lt;=S3_sol_div_annees,F$3&lt;=st_central_div_fin),S3_sol_div*IF(F10=1,0.5,1),0)</f>
        <v/>
      </c>
      <c r="G33" s="17">
        <f>IF(AND(G$3&lt;=S3_sol_div_annees,G$3&lt;=st_central_div_fin),S3_sol_div*IF(G10=1,0.5,1),0)</f>
        <v/>
      </c>
      <c r="H33" s="17">
        <f>IF(AND(H$3&lt;=S3_sol_div_annees,H$3&lt;=st_central_div_fin),S3_sol_div*IF(H10=1,0.5,1),0)</f>
        <v/>
      </c>
      <c r="I33" s="17">
        <f>IF(AND(I$3&lt;=S3_sol_div_annees,I$3&lt;=st_central_div_fin),S3_sol_div*IF(I10=1,0.5,1),0)</f>
        <v/>
      </c>
      <c r="J33" s="17">
        <f>IF(AND(J$3&lt;=S3_sol_div_annees,J$3&lt;=st_central_div_fin),S3_sol_div*IF(J10=1,0.5,1),0)</f>
        <v/>
      </c>
      <c r="K33" s="17">
        <f>IF(AND(K$3&lt;=S3_sol_div_annees,K$3&lt;=st_central_div_fin),S3_sol_div*IF(K10=1,0.5,1),0)</f>
        <v/>
      </c>
      <c r="L33" s="17">
        <f>IF(AND(L$3&lt;=S3_sol_div_annees,L$3&lt;=st_central_div_fin),S3_sol_div*IF(L10=1,0.5,1),0)</f>
        <v/>
      </c>
      <c r="M33" s="17">
        <f>IF(AND(M$3&lt;=S3_sol_div_annees,M$3&lt;=st_central_div_fin),S3_sol_div*IF(M10=1,0.5,1),0)</f>
        <v/>
      </c>
      <c r="N33" s="17">
        <f>IF(AND(N$3&lt;=S3_sol_div_annees,N$3&lt;=st_central_div_fin),S3_sol_div*IF(N10=1,0.5,1),0)</f>
        <v/>
      </c>
      <c r="O33" s="17">
        <f>IF(AND(O$3&lt;=S3_sol_div_annees,O$3&lt;=st_central_div_fin),S3_sol_div*IF(O10=1,0.5,1),0)</f>
        <v/>
      </c>
      <c r="P33" s="17">
        <f>IF(AND(P$3&lt;=S3_sol_div_annees,P$3&lt;=st_central_div_fin),S3_sol_div*IF(P10=1,0.5,1),0)</f>
        <v/>
      </c>
      <c r="Q33" s="17">
        <f>IF(AND(Q$3&lt;=S3_sol_div_annees,Q$3&lt;=st_central_div_fin),S3_sol_div*IF(Q10=1,0.5,1),0)</f>
        <v/>
      </c>
      <c r="R33" s="17">
        <f>IF(AND(R$3&lt;=S3_sol_div_annees,R$3&lt;=st_central_div_fin),S3_sol_div*IF(R10=1,0.5,1),0)</f>
        <v/>
      </c>
      <c r="S33" s="17">
        <f>IF(AND(S$3&lt;=S3_sol_div_annees,S$3&lt;=st_central_div_fin),S3_sol_div*IF(S10=1,0.5,1),0)</f>
        <v/>
      </c>
      <c r="T33" s="17">
        <f>IF(AND(T$3&lt;=S3_sol_div_annees,T$3&lt;=st_central_div_fin),S3_sol_div*IF(T10=1,0.5,1),0)</f>
        <v/>
      </c>
      <c r="U33" s="17">
        <f>IF(AND(U$3&lt;=S3_sol_div_annees,U$3&lt;=st_central_div_fin),S3_sol_div*IF(U10=1,0.5,1),0)</f>
        <v/>
      </c>
      <c r="V33" s="17">
        <f>IF(AND(V$3&lt;=S3_sol_div_annees,V$3&lt;=st_central_div_fin),S3_sol_div*IF(V10=1,0.5,1),0)</f>
        <v/>
      </c>
      <c r="W33" s="17">
        <f>IF(AND(W$3&lt;=S3_sol_div_annees,W$3&lt;=st_central_div_fin),S3_sol_div*IF(W10=1,0.5,1),0)</f>
        <v/>
      </c>
      <c r="X33" s="17">
        <f>IF(AND(X$3&lt;=S3_sol_div_annees,X$3&lt;=st_central_div_fin),S3_sol_div*IF(X10=1,0.5,1),0)</f>
        <v/>
      </c>
    </row>
    <row r="34">
      <c r="A34" s="2" t="inlineStr">
        <is>
          <t>rdt_dot</t>
        </is>
      </c>
      <c r="B34" s="2" t="inlineStr">
        <is>
          <t>Rendement réel de la dotation de l'année</t>
        </is>
      </c>
      <c r="C34" s="2" t="inlineStr">
        <is>
          <t>%</t>
        </is>
      </c>
      <c r="E34" s="20">
        <f>dot_rendement+st_central_dot_rdt_delta+IF(E10=1,-0.25,0)</f>
        <v/>
      </c>
      <c r="F34" s="20">
        <f>dot_rendement+st_central_dot_rdt_delta+IF(F10=1,-0.25,0)</f>
        <v/>
      </c>
      <c r="G34" s="20">
        <f>dot_rendement+st_central_dot_rdt_delta+IF(G10=1,-0.25,0)</f>
        <v/>
      </c>
      <c r="H34" s="20">
        <f>dot_rendement+st_central_dot_rdt_delta+IF(H10=1,-0.25,0)</f>
        <v/>
      </c>
      <c r="I34" s="20">
        <f>dot_rendement+st_central_dot_rdt_delta+IF(I10=1,-0.25,0)</f>
        <v/>
      </c>
      <c r="J34" s="20">
        <f>dot_rendement+st_central_dot_rdt_delta+IF(J10=1,-0.25,0)</f>
        <v/>
      </c>
      <c r="K34" s="20">
        <f>dot_rendement+st_central_dot_rdt_delta+IF(K10=1,-0.25,0)</f>
        <v/>
      </c>
      <c r="L34" s="20">
        <f>dot_rendement+st_central_dot_rdt_delta+IF(L10=1,-0.25,0)</f>
        <v/>
      </c>
      <c r="M34" s="20">
        <f>dot_rendement+st_central_dot_rdt_delta+IF(M10=1,-0.25,0)</f>
        <v/>
      </c>
      <c r="N34" s="20">
        <f>dot_rendement+st_central_dot_rdt_delta+IF(N10=1,-0.25,0)</f>
        <v/>
      </c>
      <c r="O34" s="20">
        <f>dot_rendement+st_central_dot_rdt_delta+IF(O10=1,-0.25,0)</f>
        <v/>
      </c>
      <c r="P34" s="20">
        <f>dot_rendement+st_central_dot_rdt_delta+IF(P10=1,-0.25,0)</f>
        <v/>
      </c>
      <c r="Q34" s="20">
        <f>dot_rendement+st_central_dot_rdt_delta+IF(Q10=1,-0.25,0)</f>
        <v/>
      </c>
      <c r="R34" s="20">
        <f>dot_rendement+st_central_dot_rdt_delta+IF(R10=1,-0.25,0)</f>
        <v/>
      </c>
      <c r="S34" s="20">
        <f>dot_rendement+st_central_dot_rdt_delta+IF(S10=1,-0.25,0)</f>
        <v/>
      </c>
      <c r="T34" s="20">
        <f>dot_rendement+st_central_dot_rdt_delta+IF(T10=1,-0.25,0)</f>
        <v/>
      </c>
      <c r="U34" s="20">
        <f>dot_rendement+st_central_dot_rdt_delta+IF(U10=1,-0.25,0)</f>
        <v/>
      </c>
      <c r="V34" s="20">
        <f>dot_rendement+st_central_dot_rdt_delta+IF(V10=1,-0.25,0)</f>
        <v/>
      </c>
      <c r="W34" s="20">
        <f>dot_rendement+st_central_dot_rdt_delta+IF(W10=1,-0.25,0)</f>
        <v/>
      </c>
      <c r="X34" s="20">
        <f>dot_rendement+st_central_dot_rdt_delta+IF(X10=1,-0.25,0)</f>
        <v/>
      </c>
    </row>
    <row r="35">
      <c r="A35" s="2" t="inlineStr">
        <is>
          <t>plafond</t>
        </is>
      </c>
      <c r="B35" s="2" t="inlineStr">
        <is>
          <t>Plafond de retrait de la règle de dépense lissée</t>
        </is>
      </c>
      <c r="C35" s="2" t="inlineStr">
        <is>
          <t>€ 2026</t>
        </is>
      </c>
      <c r="D35" s="17">
        <f>dot_taux_net*S3_sol_dotation0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S3_sol_dotation0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S3_sol_reserve0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22" customWidth="1" min="1" max="1"/>
    <col width="62" customWidth="1" min="2" max="2"/>
    <col width="20" customWidth="1" min="3" max="3"/>
    <col width="10" customWidth="1" min="4" max="4"/>
    <col width="15" customWidth="1" min="5" max="5"/>
  </cols>
  <sheetData>
    <row r="1">
      <c r="A1" s="1" t="inlineStr">
        <is>
          <t>SYNTHÈSE DES PROJECTIONS ET DES STRESS TESTS (€ 2026)</t>
        </is>
      </c>
    </row>
    <row r="2" ht="54" customHeight="1">
      <c r="A2" s="3" t="inlineStr">
        <is>
          <t>Indicateurs calculés sur les feuilles Proj_* et ST_* (années 1 à 20). Un modèle échoue si la réserve devient négative.</t>
        </is>
      </c>
    </row>
    <row r="4">
      <c r="A4" s="4" t="inlineStr">
        <is>
          <t>Ligne</t>
        </is>
      </c>
      <c r="B4" s="4" t="inlineStr">
        <is>
          <t>Libellé</t>
        </is>
      </c>
      <c r="C4" s="4" t="inlineStr">
        <is>
          <t>Catégorie</t>
        </is>
      </c>
      <c r="D4" s="4" t="inlineStr">
        <is>
          <t>TVA contenue</t>
        </is>
      </c>
      <c r="E4" s="4" t="inlineStr">
        <is>
          <t>Valeur</t>
        </is>
      </c>
    </row>
    <row r="5">
      <c r="A5" s="2" t="inlineStr">
        <is>
          <t>Proj_S2_sans_moteur_min_res</t>
        </is>
      </c>
      <c r="B5" s="2" t="inlineStr">
        <is>
          <t>S2 — activités sur place seules, sans moteur extérieur (démonstration de l'écart) — réserve minimale sur 20 ans</t>
        </is>
      </c>
      <c r="C5" s="2" t="inlineStr">
        <is>
          <t>Proj_S2_sans_moteur</t>
        </is>
      </c>
      <c r="D5" s="16" t="n">
        <v>0</v>
      </c>
      <c r="E5" s="17">
        <f>MIN(prj_Proj_S2_sans_moteur_reserve)</f>
        <v/>
      </c>
    </row>
    <row r="6">
      <c r="A6" s="2" t="inlineStr">
        <is>
          <t>Proj_S2_sans_moteur_res20</t>
        </is>
      </c>
      <c r="B6" s="2" t="inlineStr">
        <is>
          <t>Proj_S2_sans_moteur — réserve en année 20</t>
        </is>
      </c>
      <c r="C6" s="2" t="inlineStr">
        <is>
          <t>Proj_S2_sans_moteur</t>
        </is>
      </c>
      <c r="D6" s="16" t="n">
        <v>0</v>
      </c>
      <c r="E6" s="17">
        <f>INDEX(prj_Proj_S2_sans_moteur_reserve,1,20)</f>
        <v/>
      </c>
    </row>
    <row r="7">
      <c r="A7" s="2" t="inlineStr">
        <is>
          <t>Proj_S2_sans_moteur_dot20</t>
        </is>
      </c>
      <c r="B7" s="2" t="inlineStr">
        <is>
          <t>Proj_S2_sans_moteur — dotation en année 20</t>
        </is>
      </c>
      <c r="C7" s="2" t="inlineStr">
        <is>
          <t>Proj_S2_sans_moteur</t>
        </is>
      </c>
      <c r="D7" s="16" t="n">
        <v>0</v>
      </c>
      <c r="E7" s="17">
        <f>INDEX(prj_Proj_S2_sans_moteur_dotation_fin,1,20)</f>
        <v/>
      </c>
    </row>
    <row r="8">
      <c r="A8" s="2" t="inlineStr">
        <is>
          <t>Proj_S2_sans_moteur_def</t>
        </is>
      </c>
      <c r="B8" s="2" t="inlineStr">
        <is>
          <t>Proj_S2_sans_moteur — nombre d'années avec réserve négative</t>
        </is>
      </c>
      <c r="C8" s="2" t="inlineStr">
        <is>
          <t>Proj_S2_sans_moteur</t>
        </is>
      </c>
      <c r="D8" s="16" t="n">
        <v>0</v>
      </c>
      <c r="E8" s="17">
        <f>SUM(prj_Proj_S2_sans_moteur_kpi_deficit)</f>
        <v/>
      </c>
    </row>
    <row r="9">
      <c r="A9" s="2" t="inlineStr">
        <is>
          <t>Proj_S2_sans_moteur_act</t>
        </is>
      </c>
      <c r="B9" s="2" t="inlineStr">
        <is>
          <t>Proj_S2_sans_moteur — contribution moyenne des activités sur place</t>
        </is>
      </c>
      <c r="C9" s="2" t="inlineStr">
        <is>
          <t>Proj_S2_sans_moteur</t>
        </is>
      </c>
      <c r="D9" s="16" t="n">
        <v>0</v>
      </c>
      <c r="E9" s="17">
        <f>AVERAGE(prj_Proj_S2_sans_moteur_act_nette)</f>
        <v/>
      </c>
    </row>
    <row r="10">
      <c r="A10" s="2" t="inlineStr">
        <is>
          <t>Proj_S2_solution_min_res</t>
        </is>
      </c>
      <c r="B10" s="2" t="inlineStr">
        <is>
          <t>S2 — solution recommandée, projection centrale — réserve minimale sur 20 ans</t>
        </is>
      </c>
      <c r="C10" s="2" t="inlineStr">
        <is>
          <t>Proj_S2_solution</t>
        </is>
      </c>
      <c r="D10" s="16" t="n">
        <v>0</v>
      </c>
      <c r="E10" s="17">
        <f>MIN(prj_Proj_S2_solution_reserve)</f>
        <v/>
      </c>
    </row>
    <row r="11">
      <c r="A11" s="2" t="inlineStr">
        <is>
          <t>Proj_S2_solution_res20</t>
        </is>
      </c>
      <c r="B11" s="2" t="inlineStr">
        <is>
          <t>Proj_S2_solution — réserve en année 20</t>
        </is>
      </c>
      <c r="C11" s="2" t="inlineStr">
        <is>
          <t>Proj_S2_solution</t>
        </is>
      </c>
      <c r="D11" s="16" t="n">
        <v>0</v>
      </c>
      <c r="E11" s="17">
        <f>INDEX(prj_Proj_S2_solution_reserve,1,20)</f>
        <v/>
      </c>
    </row>
    <row r="12">
      <c r="A12" s="2" t="inlineStr">
        <is>
          <t>Proj_S2_solution_dot20</t>
        </is>
      </c>
      <c r="B12" s="2" t="inlineStr">
        <is>
          <t>Proj_S2_solution — dotation en année 20</t>
        </is>
      </c>
      <c r="C12" s="2" t="inlineStr">
        <is>
          <t>Proj_S2_solution</t>
        </is>
      </c>
      <c r="D12" s="16" t="n">
        <v>0</v>
      </c>
      <c r="E12" s="17">
        <f>INDEX(prj_Proj_S2_solution_dotation_fin,1,20)</f>
        <v/>
      </c>
    </row>
    <row r="13">
      <c r="A13" s="2" t="inlineStr">
        <is>
          <t>Proj_S2_solution_def</t>
        </is>
      </c>
      <c r="B13" s="2" t="inlineStr">
        <is>
          <t>Proj_S2_solution — nombre d'années avec réserve négative</t>
        </is>
      </c>
      <c r="C13" s="2" t="inlineStr">
        <is>
          <t>Proj_S2_solution</t>
        </is>
      </c>
      <c r="D13" s="16" t="n">
        <v>0</v>
      </c>
      <c r="E13" s="17">
        <f>SUM(prj_Proj_S2_solution_kpi_deficit)</f>
        <v/>
      </c>
    </row>
    <row r="14">
      <c r="A14" s="2" t="inlineStr">
        <is>
          <t>Proj_S2_solution_act</t>
        </is>
      </c>
      <c r="B14" s="2" t="inlineStr">
        <is>
          <t>Proj_S2_solution — contribution moyenne des activités sur place</t>
        </is>
      </c>
      <c r="C14" s="2" t="inlineStr">
        <is>
          <t>Proj_S2_solution</t>
        </is>
      </c>
      <c r="D14" s="16" t="n">
        <v>0</v>
      </c>
      <c r="E14" s="17">
        <f>AVERAGE(prj_Proj_S2_solution_act_nette)</f>
        <v/>
      </c>
    </row>
    <row r="15">
      <c r="A15" s="2" t="inlineStr">
        <is>
          <t>ST_S2_ca30_min_res</t>
        </is>
      </c>
      <c r="B15" s="2" t="inlineStr">
        <is>
          <t>S2 — solution recommandée, stress test : Chiffre d'affaires des activités −30 % dès l'année 3 — réserve minimale sur 20 ans</t>
        </is>
      </c>
      <c r="C15" s="2" t="inlineStr">
        <is>
          <t>ST_S2_ca30</t>
        </is>
      </c>
      <c r="D15" s="16" t="n">
        <v>0</v>
      </c>
      <c r="E15" s="17">
        <f>MIN(prj_ST_S2_ca30_reserve)</f>
        <v/>
      </c>
    </row>
    <row r="16">
      <c r="A16" s="2" t="inlineStr">
        <is>
          <t>ST_S2_ca30_res20</t>
        </is>
      </c>
      <c r="B16" s="2" t="inlineStr">
        <is>
          <t>ST_S2_ca30 — réserve en année 20</t>
        </is>
      </c>
      <c r="C16" s="2" t="inlineStr">
        <is>
          <t>ST_S2_ca30</t>
        </is>
      </c>
      <c r="D16" s="16" t="n">
        <v>0</v>
      </c>
      <c r="E16" s="17">
        <f>INDEX(prj_ST_S2_ca30_reserve,1,20)</f>
        <v/>
      </c>
    </row>
    <row r="17">
      <c r="A17" s="2" t="inlineStr">
        <is>
          <t>ST_S2_ca30_dot20</t>
        </is>
      </c>
      <c r="B17" s="2" t="inlineStr">
        <is>
          <t>ST_S2_ca30 — dotation en année 20</t>
        </is>
      </c>
      <c r="C17" s="2" t="inlineStr">
        <is>
          <t>ST_S2_ca30</t>
        </is>
      </c>
      <c r="D17" s="16" t="n">
        <v>0</v>
      </c>
      <c r="E17" s="17">
        <f>INDEX(prj_ST_S2_ca30_dotation_fin,1,20)</f>
        <v/>
      </c>
    </row>
    <row r="18">
      <c r="A18" s="2" t="inlineStr">
        <is>
          <t>ST_S2_ca30_def</t>
        </is>
      </c>
      <c r="B18" s="2" t="inlineStr">
        <is>
          <t>ST_S2_ca30 — nombre d'années avec réserve négative</t>
        </is>
      </c>
      <c r="C18" s="2" t="inlineStr">
        <is>
          <t>ST_S2_ca30</t>
        </is>
      </c>
      <c r="D18" s="16" t="n">
        <v>0</v>
      </c>
      <c r="E18" s="17">
        <f>SUM(prj_ST_S2_ca30_kpi_deficit)</f>
        <v/>
      </c>
    </row>
    <row r="19">
      <c r="A19" s="2" t="inlineStr">
        <is>
          <t>ST_S2_ca30_act</t>
        </is>
      </c>
      <c r="B19" s="2" t="inlineStr">
        <is>
          <t>ST_S2_ca30 — contribution moyenne des activités sur place</t>
        </is>
      </c>
      <c r="C19" s="2" t="inlineStr">
        <is>
          <t>ST_S2_ca30</t>
        </is>
      </c>
      <c r="D19" s="16" t="n">
        <v>0</v>
      </c>
      <c r="E19" s="17">
        <f>AVERAGE(prj_ST_S2_ca30_act_nette)</f>
        <v/>
      </c>
    </row>
    <row r="20">
      <c r="A20" s="2" t="inlineStr">
        <is>
          <t>ST_S2_crise_min_res</t>
        </is>
      </c>
      <c r="B20" s="2" t="inlineStr">
        <is>
          <t>S2 — solution recommandée, stress test : Crise de type 2020 en année 5 (C −80 %, B −15 %, A −5 % ; dotation −25 % ; dividendes −50 %), reprise partielle en année 6 — réserve minimale sur 20 ans</t>
        </is>
      </c>
      <c r="C20" s="2" t="inlineStr">
        <is>
          <t>ST_S2_crise</t>
        </is>
      </c>
      <c r="D20" s="16" t="n">
        <v>0</v>
      </c>
      <c r="E20" s="17">
        <f>MIN(prj_ST_S2_crise_reserve)</f>
        <v/>
      </c>
    </row>
    <row r="21">
      <c r="A21" s="2" t="inlineStr">
        <is>
          <t>ST_S2_crise_res20</t>
        </is>
      </c>
      <c r="B21" s="2" t="inlineStr">
        <is>
          <t>ST_S2_crise — réserve en année 20</t>
        </is>
      </c>
      <c r="C21" s="2" t="inlineStr">
        <is>
          <t>ST_S2_crise</t>
        </is>
      </c>
      <c r="D21" s="16" t="n">
        <v>0</v>
      </c>
      <c r="E21" s="17">
        <f>INDEX(prj_ST_S2_crise_reserve,1,20)</f>
        <v/>
      </c>
    </row>
    <row r="22">
      <c r="A22" s="2" t="inlineStr">
        <is>
          <t>ST_S2_crise_dot20</t>
        </is>
      </c>
      <c r="B22" s="2" t="inlineStr">
        <is>
          <t>ST_S2_crise — dotation en année 20</t>
        </is>
      </c>
      <c r="C22" s="2" t="inlineStr">
        <is>
          <t>ST_S2_crise</t>
        </is>
      </c>
      <c r="D22" s="16" t="n">
        <v>0</v>
      </c>
      <c r="E22" s="17">
        <f>INDEX(prj_ST_S2_crise_dotation_fin,1,20)</f>
        <v/>
      </c>
    </row>
    <row r="23">
      <c r="A23" s="2" t="inlineStr">
        <is>
          <t>ST_S2_crise_def</t>
        </is>
      </c>
      <c r="B23" s="2" t="inlineStr">
        <is>
          <t>ST_S2_crise — nombre d'années avec réserve négative</t>
        </is>
      </c>
      <c r="C23" s="2" t="inlineStr">
        <is>
          <t>ST_S2_crise</t>
        </is>
      </c>
      <c r="D23" s="16" t="n">
        <v>0</v>
      </c>
      <c r="E23" s="17">
        <f>SUM(prj_ST_S2_crise_kpi_deficit)</f>
        <v/>
      </c>
    </row>
    <row r="24">
      <c r="A24" s="2" t="inlineStr">
        <is>
          <t>ST_S2_crise_act</t>
        </is>
      </c>
      <c r="B24" s="2" t="inlineStr">
        <is>
          <t>ST_S2_crise — contribution moyenne des activités sur place</t>
        </is>
      </c>
      <c r="C24" s="2" t="inlineStr">
        <is>
          <t>ST_S2_crise</t>
        </is>
      </c>
      <c r="D24" s="16" t="n">
        <v>0</v>
      </c>
      <c r="E24" s="17">
        <f>AVERAGE(prj_ST_S2_crise_act_nette)</f>
        <v/>
      </c>
    </row>
    <row r="25">
      <c r="A25" s="2" t="inlineStr">
        <is>
          <t>ST_S2_travaux_min_res</t>
        </is>
      </c>
      <c r="B25" s="2" t="inlineStr">
        <is>
          <t>S2 — solution recommandée, stress test : Sinistre ou découverte non assurés en année 6 (+600 000 €) et campagnes +30 % — réserve minimale sur 20 ans</t>
        </is>
      </c>
      <c r="C25" s="2" t="inlineStr">
        <is>
          <t>ST_S2_travaux</t>
        </is>
      </c>
      <c r="D25" s="16" t="n">
        <v>0</v>
      </c>
      <c r="E25" s="17">
        <f>MIN(prj_ST_S2_travaux_reserve)</f>
        <v/>
      </c>
    </row>
    <row r="26">
      <c r="A26" s="2" t="inlineStr">
        <is>
          <t>ST_S2_travaux_res20</t>
        </is>
      </c>
      <c r="B26" s="2" t="inlineStr">
        <is>
          <t>ST_S2_travaux — réserve en année 20</t>
        </is>
      </c>
      <c r="C26" s="2" t="inlineStr">
        <is>
          <t>ST_S2_travaux</t>
        </is>
      </c>
      <c r="D26" s="16" t="n">
        <v>0</v>
      </c>
      <c r="E26" s="17">
        <f>INDEX(prj_ST_S2_travaux_reserve,1,20)</f>
        <v/>
      </c>
    </row>
    <row r="27">
      <c r="A27" s="2" t="inlineStr">
        <is>
          <t>ST_S2_travaux_dot20</t>
        </is>
      </c>
      <c r="B27" s="2" t="inlineStr">
        <is>
          <t>ST_S2_travaux — dotation en année 20</t>
        </is>
      </c>
      <c r="C27" s="2" t="inlineStr">
        <is>
          <t>ST_S2_travaux</t>
        </is>
      </c>
      <c r="D27" s="16" t="n">
        <v>0</v>
      </c>
      <c r="E27" s="17">
        <f>INDEX(prj_ST_S2_travaux_dotation_fin,1,20)</f>
        <v/>
      </c>
    </row>
    <row r="28">
      <c r="A28" s="2" t="inlineStr">
        <is>
          <t>ST_S2_travaux_def</t>
        </is>
      </c>
      <c r="B28" s="2" t="inlineStr">
        <is>
          <t>ST_S2_travaux — nombre d'années avec réserve négative</t>
        </is>
      </c>
      <c r="C28" s="2" t="inlineStr">
        <is>
          <t>ST_S2_travaux</t>
        </is>
      </c>
      <c r="D28" s="16" t="n">
        <v>0</v>
      </c>
      <c r="E28" s="17">
        <f>SUM(prj_ST_S2_travaux_kpi_deficit)</f>
        <v/>
      </c>
    </row>
    <row r="29">
      <c r="A29" s="2" t="inlineStr">
        <is>
          <t>ST_S2_travaux_act</t>
        </is>
      </c>
      <c r="B29" s="2" t="inlineStr">
        <is>
          <t>ST_S2_travaux — contribution moyenne des activités sur place</t>
        </is>
      </c>
      <c r="C29" s="2" t="inlineStr">
        <is>
          <t>ST_S2_travaux</t>
        </is>
      </c>
      <c r="D29" s="16" t="n">
        <v>0</v>
      </c>
      <c r="E29" s="17">
        <f>AVERAGE(prj_ST_S2_travaux_act_nette)</f>
        <v/>
      </c>
    </row>
    <row r="30">
      <c r="A30" s="2" t="inlineStr">
        <is>
          <t>ST_S2_energie_min_res</t>
        </is>
      </c>
      <c r="B30" s="2" t="inlineStr">
        <is>
          <t>S2 — solution recommandée, stress test : Prix de l'énergie ×2 pendant 3 ans (années 4 à 6) — réserve minimale sur 20 ans</t>
        </is>
      </c>
      <c r="C30" s="2" t="inlineStr">
        <is>
          <t>ST_S2_energie</t>
        </is>
      </c>
      <c r="D30" s="16" t="n">
        <v>0</v>
      </c>
      <c r="E30" s="17">
        <f>MIN(prj_ST_S2_energie_reserve)</f>
        <v/>
      </c>
    </row>
    <row r="31">
      <c r="A31" s="2" t="inlineStr">
        <is>
          <t>ST_S2_energie_res20</t>
        </is>
      </c>
      <c r="B31" s="2" t="inlineStr">
        <is>
          <t>ST_S2_energie — réserve en année 20</t>
        </is>
      </c>
      <c r="C31" s="2" t="inlineStr">
        <is>
          <t>ST_S2_energie</t>
        </is>
      </c>
      <c r="D31" s="16" t="n">
        <v>0</v>
      </c>
      <c r="E31" s="17">
        <f>INDEX(prj_ST_S2_energie_reserve,1,20)</f>
        <v/>
      </c>
    </row>
    <row r="32">
      <c r="A32" s="2" t="inlineStr">
        <is>
          <t>ST_S2_energie_dot20</t>
        </is>
      </c>
      <c r="B32" s="2" t="inlineStr">
        <is>
          <t>ST_S2_energie — dotation en année 20</t>
        </is>
      </c>
      <c r="C32" s="2" t="inlineStr">
        <is>
          <t>ST_S2_energie</t>
        </is>
      </c>
      <c r="D32" s="16" t="n">
        <v>0</v>
      </c>
      <c r="E32" s="17">
        <f>INDEX(prj_ST_S2_energie_dotation_fin,1,20)</f>
        <v/>
      </c>
    </row>
    <row r="33">
      <c r="A33" s="2" t="inlineStr">
        <is>
          <t>ST_S2_energie_def</t>
        </is>
      </c>
      <c r="B33" s="2" t="inlineStr">
        <is>
          <t>ST_S2_energie — nombre d'années avec réserve négative</t>
        </is>
      </c>
      <c r="C33" s="2" t="inlineStr">
        <is>
          <t>ST_S2_energie</t>
        </is>
      </c>
      <c r="D33" s="16" t="n">
        <v>0</v>
      </c>
      <c r="E33" s="17">
        <f>SUM(prj_ST_S2_energie_kpi_deficit)</f>
        <v/>
      </c>
    </row>
    <row r="34">
      <c r="A34" s="2" t="inlineStr">
        <is>
          <t>ST_S2_energie_act</t>
        </is>
      </c>
      <c r="B34" s="2" t="inlineStr">
        <is>
          <t>ST_S2_energie — contribution moyenne des activités sur place</t>
        </is>
      </c>
      <c r="C34" s="2" t="inlineStr">
        <is>
          <t>ST_S2_energie</t>
        </is>
      </c>
      <c r="D34" s="16" t="n">
        <v>0</v>
      </c>
      <c r="E34" s="17">
        <f>AVERAGE(prj_ST_S2_energie_act_nette)</f>
        <v/>
      </c>
    </row>
    <row r="35">
      <c r="A35" s="2" t="inlineStr">
        <is>
          <t>ST_S2_salaires_min_res</t>
        </is>
      </c>
      <c r="B35" s="2" t="inlineStr">
        <is>
          <t>S2 — solution recommandée, stress test : Salaires +1,5 % réel par an au lieu de +0,5 % — réserve minimale sur 20 ans</t>
        </is>
      </c>
      <c r="C35" s="2" t="inlineStr">
        <is>
          <t>ST_S2_salaires</t>
        </is>
      </c>
      <c r="D35" s="16" t="n">
        <v>0</v>
      </c>
      <c r="E35" s="17">
        <f>MIN(prj_ST_S2_salaires_reserve)</f>
        <v/>
      </c>
    </row>
    <row r="36">
      <c r="A36" s="2" t="inlineStr">
        <is>
          <t>ST_S2_salaires_res20</t>
        </is>
      </c>
      <c r="B36" s="2" t="inlineStr">
        <is>
          <t>ST_S2_salaires — réserve en année 20</t>
        </is>
      </c>
      <c r="C36" s="2" t="inlineStr">
        <is>
          <t>ST_S2_salaires</t>
        </is>
      </c>
      <c r="D36" s="16" t="n">
        <v>0</v>
      </c>
      <c r="E36" s="17">
        <f>INDEX(prj_ST_S2_salaires_reserve,1,20)</f>
        <v/>
      </c>
    </row>
    <row r="37">
      <c r="A37" s="2" t="inlineStr">
        <is>
          <t>ST_S2_salaires_dot20</t>
        </is>
      </c>
      <c r="B37" s="2" t="inlineStr">
        <is>
          <t>ST_S2_salaires — dotation en année 20</t>
        </is>
      </c>
      <c r="C37" s="2" t="inlineStr">
        <is>
          <t>ST_S2_salaires</t>
        </is>
      </c>
      <c r="D37" s="16" t="n">
        <v>0</v>
      </c>
      <c r="E37" s="17">
        <f>INDEX(prj_ST_S2_salaires_dotation_fin,1,20)</f>
        <v/>
      </c>
    </row>
    <row r="38">
      <c r="A38" s="2" t="inlineStr">
        <is>
          <t>ST_S2_salaires_def</t>
        </is>
      </c>
      <c r="B38" s="2" t="inlineStr">
        <is>
          <t>ST_S2_salaires — nombre d'années avec réserve négative</t>
        </is>
      </c>
      <c r="C38" s="2" t="inlineStr">
        <is>
          <t>ST_S2_salaires</t>
        </is>
      </c>
      <c r="D38" s="16" t="n">
        <v>0</v>
      </c>
      <c r="E38" s="17">
        <f>SUM(prj_ST_S2_salaires_kpi_deficit)</f>
        <v/>
      </c>
    </row>
    <row r="39">
      <c r="A39" s="2" t="inlineStr">
        <is>
          <t>ST_S2_salaires_act</t>
        </is>
      </c>
      <c r="B39" s="2" t="inlineStr">
        <is>
          <t>ST_S2_salaires — contribution moyenne des activités sur place</t>
        </is>
      </c>
      <c r="C39" s="2" t="inlineStr">
        <is>
          <t>ST_S2_salaires</t>
        </is>
      </c>
      <c r="D39" s="16" t="n">
        <v>0</v>
      </c>
      <c r="E39" s="17">
        <f>AVERAGE(prj_ST_S2_salaires_act_nette)</f>
        <v/>
      </c>
    </row>
    <row r="40">
      <c r="A40" s="2" t="inlineStr">
        <is>
          <t>ST_S2_moteur_min_res</t>
        </is>
      </c>
      <c r="B40" s="2" t="inlineStr">
        <is>
          <t>S2 — solution recommandée, stress test : Moteur extérieur défaillant : dividendes nuls dès l'année 3 et rendement de la dotation −1 point — réserve minimale sur 20 ans</t>
        </is>
      </c>
      <c r="C40" s="2" t="inlineStr">
        <is>
          <t>ST_S2_moteur</t>
        </is>
      </c>
      <c r="D40" s="16" t="n">
        <v>0</v>
      </c>
      <c r="E40" s="17">
        <f>MIN(prj_ST_S2_moteur_reserve)</f>
        <v/>
      </c>
    </row>
    <row r="41">
      <c r="A41" s="2" t="inlineStr">
        <is>
          <t>ST_S2_moteur_res20</t>
        </is>
      </c>
      <c r="B41" s="2" t="inlineStr">
        <is>
          <t>ST_S2_moteur — réserve en année 20</t>
        </is>
      </c>
      <c r="C41" s="2" t="inlineStr">
        <is>
          <t>ST_S2_moteur</t>
        </is>
      </c>
      <c r="D41" s="16" t="n">
        <v>0</v>
      </c>
      <c r="E41" s="17">
        <f>INDEX(prj_ST_S2_moteur_reserve,1,20)</f>
        <v/>
      </c>
    </row>
    <row r="42">
      <c r="A42" s="2" t="inlineStr">
        <is>
          <t>ST_S2_moteur_dot20</t>
        </is>
      </c>
      <c r="B42" s="2" t="inlineStr">
        <is>
          <t>ST_S2_moteur — dotation en année 20</t>
        </is>
      </c>
      <c r="C42" s="2" t="inlineStr">
        <is>
          <t>ST_S2_moteur</t>
        </is>
      </c>
      <c r="D42" s="16" t="n">
        <v>0</v>
      </c>
      <c r="E42" s="17">
        <f>INDEX(prj_ST_S2_moteur_dotation_fin,1,20)</f>
        <v/>
      </c>
    </row>
    <row r="43">
      <c r="A43" s="2" t="inlineStr">
        <is>
          <t>ST_S2_moteur_def</t>
        </is>
      </c>
      <c r="B43" s="2" t="inlineStr">
        <is>
          <t>ST_S2_moteur — nombre d'années avec réserve négative</t>
        </is>
      </c>
      <c r="C43" s="2" t="inlineStr">
        <is>
          <t>ST_S2_moteur</t>
        </is>
      </c>
      <c r="D43" s="16" t="n">
        <v>0</v>
      </c>
      <c r="E43" s="17">
        <f>SUM(prj_ST_S2_moteur_kpi_deficit)</f>
        <v/>
      </c>
    </row>
    <row r="44">
      <c r="A44" s="2" t="inlineStr">
        <is>
          <t>ST_S2_moteur_act</t>
        </is>
      </c>
      <c r="B44" s="2" t="inlineStr">
        <is>
          <t>ST_S2_moteur — contribution moyenne des activités sur place</t>
        </is>
      </c>
      <c r="C44" s="2" t="inlineStr">
        <is>
          <t>ST_S2_moteur</t>
        </is>
      </c>
      <c r="D44" s="16" t="n">
        <v>0</v>
      </c>
      <c r="E44" s="17">
        <f>AVERAGE(prj_ST_S2_moteur_act_nette)</f>
        <v/>
      </c>
    </row>
    <row r="45">
      <c r="A45" s="2" t="inlineStr">
        <is>
          <t>ST_S2_cumul_min_res</t>
        </is>
      </c>
      <c r="B45" s="2" t="inlineStr">
        <is>
          <t>S2 — solution recommandée, stress test : Cumul défavorable : activités −30 %, crise en année 5, sinistre de 600 000 € en année 6, salaires +1,5 % réel — réserve minimale sur 20 ans</t>
        </is>
      </c>
      <c r="C45" s="2" t="inlineStr">
        <is>
          <t>ST_S2_cumul</t>
        </is>
      </c>
      <c r="D45" s="16" t="n">
        <v>0</v>
      </c>
      <c r="E45" s="17">
        <f>MIN(prj_ST_S2_cumul_reserve)</f>
        <v/>
      </c>
    </row>
    <row r="46">
      <c r="A46" s="2" t="inlineStr">
        <is>
          <t>ST_S2_cumul_res20</t>
        </is>
      </c>
      <c r="B46" s="2" t="inlineStr">
        <is>
          <t>ST_S2_cumul — réserve en année 20</t>
        </is>
      </c>
      <c r="C46" s="2" t="inlineStr">
        <is>
          <t>ST_S2_cumul</t>
        </is>
      </c>
      <c r="D46" s="16" t="n">
        <v>0</v>
      </c>
      <c r="E46" s="17">
        <f>INDEX(prj_ST_S2_cumul_reserve,1,20)</f>
        <v/>
      </c>
    </row>
    <row r="47">
      <c r="A47" s="2" t="inlineStr">
        <is>
          <t>ST_S2_cumul_dot20</t>
        </is>
      </c>
      <c r="B47" s="2" t="inlineStr">
        <is>
          <t>ST_S2_cumul — dotation en année 20</t>
        </is>
      </c>
      <c r="C47" s="2" t="inlineStr">
        <is>
          <t>ST_S2_cumul</t>
        </is>
      </c>
      <c r="D47" s="16" t="n">
        <v>0</v>
      </c>
      <c r="E47" s="17">
        <f>INDEX(prj_ST_S2_cumul_dotation_fin,1,20)</f>
        <v/>
      </c>
    </row>
    <row r="48">
      <c r="A48" s="2" t="inlineStr">
        <is>
          <t>ST_S2_cumul_def</t>
        </is>
      </c>
      <c r="B48" s="2" t="inlineStr">
        <is>
          <t>ST_S2_cumul — nombre d'années avec réserve négative</t>
        </is>
      </c>
      <c r="C48" s="2" t="inlineStr">
        <is>
          <t>ST_S2_cumul</t>
        </is>
      </c>
      <c r="D48" s="16" t="n">
        <v>0</v>
      </c>
      <c r="E48" s="17">
        <f>SUM(prj_ST_S2_cumul_kpi_deficit)</f>
        <v/>
      </c>
    </row>
    <row r="49">
      <c r="A49" s="2" t="inlineStr">
        <is>
          <t>ST_S2_cumul_act</t>
        </is>
      </c>
      <c r="B49" s="2" t="inlineStr">
        <is>
          <t>ST_S2_cumul — contribution moyenne des activités sur place</t>
        </is>
      </c>
      <c r="C49" s="2" t="inlineStr">
        <is>
          <t>ST_S2_cumul</t>
        </is>
      </c>
      <c r="D49" s="16" t="n">
        <v>0</v>
      </c>
      <c r="E49" s="17">
        <f>AVERAGE(prj_ST_S2_cumul_act_nette)</f>
        <v/>
      </c>
    </row>
    <row r="50">
      <c r="A50" s="2" t="inlineStr">
        <is>
          <t>Proj_S1_solution_min_res</t>
        </is>
      </c>
      <c r="B50" s="2" t="inlineStr">
        <is>
          <t>S1 — solution recommandée, projection centrale — réserve minimale sur 20 ans</t>
        </is>
      </c>
      <c r="C50" s="2" t="inlineStr">
        <is>
          <t>Proj_S1_solution</t>
        </is>
      </c>
      <c r="D50" s="16" t="n">
        <v>0</v>
      </c>
      <c r="E50" s="17">
        <f>MIN(prj_Proj_S1_solution_reserve)</f>
        <v/>
      </c>
    </row>
    <row r="51">
      <c r="A51" s="2" t="inlineStr">
        <is>
          <t>Proj_S1_solution_res20</t>
        </is>
      </c>
      <c r="B51" s="2" t="inlineStr">
        <is>
          <t>Proj_S1_solution — réserve en année 20</t>
        </is>
      </c>
      <c r="C51" s="2" t="inlineStr">
        <is>
          <t>Proj_S1_solution</t>
        </is>
      </c>
      <c r="D51" s="16" t="n">
        <v>0</v>
      </c>
      <c r="E51" s="17">
        <f>INDEX(prj_Proj_S1_solution_reserve,1,20)</f>
        <v/>
      </c>
    </row>
    <row r="52">
      <c r="A52" s="2" t="inlineStr">
        <is>
          <t>Proj_S1_solution_dot20</t>
        </is>
      </c>
      <c r="B52" s="2" t="inlineStr">
        <is>
          <t>Proj_S1_solution — dotation en année 20</t>
        </is>
      </c>
      <c r="C52" s="2" t="inlineStr">
        <is>
          <t>Proj_S1_solution</t>
        </is>
      </c>
      <c r="D52" s="16" t="n">
        <v>0</v>
      </c>
      <c r="E52" s="17">
        <f>INDEX(prj_Proj_S1_solution_dotation_fin,1,20)</f>
        <v/>
      </c>
    </row>
    <row r="53">
      <c r="A53" s="2" t="inlineStr">
        <is>
          <t>Proj_S1_solution_def</t>
        </is>
      </c>
      <c r="B53" s="2" t="inlineStr">
        <is>
          <t>Proj_S1_solution — nombre d'années avec réserve négative</t>
        </is>
      </c>
      <c r="C53" s="2" t="inlineStr">
        <is>
          <t>Proj_S1_solution</t>
        </is>
      </c>
      <c r="D53" s="16" t="n">
        <v>0</v>
      </c>
      <c r="E53" s="17">
        <f>SUM(prj_Proj_S1_solution_kpi_deficit)</f>
        <v/>
      </c>
    </row>
    <row r="54">
      <c r="A54" s="2" t="inlineStr">
        <is>
          <t>Proj_S1_solution_act</t>
        </is>
      </c>
      <c r="B54" s="2" t="inlineStr">
        <is>
          <t>Proj_S1_solution — contribution moyenne des activités sur place</t>
        </is>
      </c>
      <c r="C54" s="2" t="inlineStr">
        <is>
          <t>Proj_S1_solution</t>
        </is>
      </c>
      <c r="D54" s="16" t="n">
        <v>0</v>
      </c>
      <c r="E54" s="17">
        <f>AVERAGE(prj_Proj_S1_solution_act_nette)</f>
        <v/>
      </c>
    </row>
    <row r="55">
      <c r="A55" s="2" t="inlineStr">
        <is>
          <t>ST_S1_cumul_min_res</t>
        </is>
      </c>
      <c r="B55" s="2" t="inlineStr">
        <is>
          <t>S1 — solution recommandée, stress test cumulé — réserve minimale sur 20 ans</t>
        </is>
      </c>
      <c r="C55" s="2" t="inlineStr">
        <is>
          <t>ST_S1_cumul</t>
        </is>
      </c>
      <c r="D55" s="16" t="n">
        <v>0</v>
      </c>
      <c r="E55" s="17">
        <f>MIN(prj_ST_S1_cumul_reserve)</f>
        <v/>
      </c>
    </row>
    <row r="56">
      <c r="A56" s="2" t="inlineStr">
        <is>
          <t>ST_S1_cumul_res20</t>
        </is>
      </c>
      <c r="B56" s="2" t="inlineStr">
        <is>
          <t>ST_S1_cumul — réserve en année 20</t>
        </is>
      </c>
      <c r="C56" s="2" t="inlineStr">
        <is>
          <t>ST_S1_cumul</t>
        </is>
      </c>
      <c r="D56" s="16" t="n">
        <v>0</v>
      </c>
      <c r="E56" s="17">
        <f>INDEX(prj_ST_S1_cumul_reserve,1,20)</f>
        <v/>
      </c>
    </row>
    <row r="57">
      <c r="A57" s="2" t="inlineStr">
        <is>
          <t>ST_S1_cumul_dot20</t>
        </is>
      </c>
      <c r="B57" s="2" t="inlineStr">
        <is>
          <t>ST_S1_cumul — dotation en année 20</t>
        </is>
      </c>
      <c r="C57" s="2" t="inlineStr">
        <is>
          <t>ST_S1_cumul</t>
        </is>
      </c>
      <c r="D57" s="16" t="n">
        <v>0</v>
      </c>
      <c r="E57" s="17">
        <f>INDEX(prj_ST_S1_cumul_dotation_fin,1,20)</f>
        <v/>
      </c>
    </row>
    <row r="58">
      <c r="A58" s="2" t="inlineStr">
        <is>
          <t>ST_S1_cumul_def</t>
        </is>
      </c>
      <c r="B58" s="2" t="inlineStr">
        <is>
          <t>ST_S1_cumul — nombre d'années avec réserve négative</t>
        </is>
      </c>
      <c r="C58" s="2" t="inlineStr">
        <is>
          <t>ST_S1_cumul</t>
        </is>
      </c>
      <c r="D58" s="16" t="n">
        <v>0</v>
      </c>
      <c r="E58" s="17">
        <f>SUM(prj_ST_S1_cumul_kpi_deficit)</f>
        <v/>
      </c>
    </row>
    <row r="59">
      <c r="A59" s="2" t="inlineStr">
        <is>
          <t>ST_S1_cumul_act</t>
        </is>
      </c>
      <c r="B59" s="2" t="inlineStr">
        <is>
          <t>ST_S1_cumul — contribution moyenne des activités sur place</t>
        </is>
      </c>
      <c r="C59" s="2" t="inlineStr">
        <is>
          <t>ST_S1_cumul</t>
        </is>
      </c>
      <c r="D59" s="16" t="n">
        <v>0</v>
      </c>
      <c r="E59" s="17">
        <f>AVERAGE(prj_ST_S1_cumul_act_nette)</f>
        <v/>
      </c>
    </row>
    <row r="60">
      <c r="A60" s="2" t="inlineStr">
        <is>
          <t>Proj_S3_solution_min_res</t>
        </is>
      </c>
      <c r="B60" s="2" t="inlineStr">
        <is>
          <t>S3 — solution recommandée, projection centrale — réserve minimale sur 20 ans</t>
        </is>
      </c>
      <c r="C60" s="2" t="inlineStr">
        <is>
          <t>Proj_S3_solution</t>
        </is>
      </c>
      <c r="D60" s="16" t="n">
        <v>0</v>
      </c>
      <c r="E60" s="17">
        <f>MIN(prj_Proj_S3_solution_reserve)</f>
        <v/>
      </c>
    </row>
    <row r="61">
      <c r="A61" s="2" t="inlineStr">
        <is>
          <t>Proj_S3_solution_res20</t>
        </is>
      </c>
      <c r="B61" s="2" t="inlineStr">
        <is>
          <t>Proj_S3_solution — réserve en année 20</t>
        </is>
      </c>
      <c r="C61" s="2" t="inlineStr">
        <is>
          <t>Proj_S3_solution</t>
        </is>
      </c>
      <c r="D61" s="16" t="n">
        <v>0</v>
      </c>
      <c r="E61" s="17">
        <f>INDEX(prj_Proj_S3_solution_reserve,1,20)</f>
        <v/>
      </c>
    </row>
    <row r="62">
      <c r="A62" s="2" t="inlineStr">
        <is>
          <t>Proj_S3_solution_dot20</t>
        </is>
      </c>
      <c r="B62" s="2" t="inlineStr">
        <is>
          <t>Proj_S3_solution — dotation en année 20</t>
        </is>
      </c>
      <c r="C62" s="2" t="inlineStr">
        <is>
          <t>Proj_S3_solution</t>
        </is>
      </c>
      <c r="D62" s="16" t="n">
        <v>0</v>
      </c>
      <c r="E62" s="17">
        <f>INDEX(prj_Proj_S3_solution_dotation_fin,1,20)</f>
        <v/>
      </c>
    </row>
    <row r="63">
      <c r="A63" s="2" t="inlineStr">
        <is>
          <t>Proj_S3_solution_def</t>
        </is>
      </c>
      <c r="B63" s="2" t="inlineStr">
        <is>
          <t>Proj_S3_solution — nombre d'années avec réserve négative</t>
        </is>
      </c>
      <c r="C63" s="2" t="inlineStr">
        <is>
          <t>Proj_S3_solution</t>
        </is>
      </c>
      <c r="D63" s="16" t="n">
        <v>0</v>
      </c>
      <c r="E63" s="17">
        <f>SUM(prj_Proj_S3_solution_kpi_deficit)</f>
        <v/>
      </c>
    </row>
    <row r="64">
      <c r="A64" s="2" t="inlineStr">
        <is>
          <t>Proj_S3_solution_act</t>
        </is>
      </c>
      <c r="B64" s="2" t="inlineStr">
        <is>
          <t>Proj_S3_solution — contribution moyenne des activités sur place</t>
        </is>
      </c>
      <c r="C64" s="2" t="inlineStr">
        <is>
          <t>Proj_S3_solution</t>
        </is>
      </c>
      <c r="D64" s="16" t="n">
        <v>0</v>
      </c>
      <c r="E64" s="17">
        <f>AVERAGE(prj_Proj_S3_solution_act_nette)</f>
        <v/>
      </c>
    </row>
  </sheetData>
  <mergeCells count="1">
    <mergeCell ref="A2:E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58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80" customWidth="1" min="2" max="2"/>
    <col width="60" customWidth="1" min="3" max="3"/>
    <col width="22" customWidth="1" min="4" max="4"/>
    <col width="12" customWidth="1" min="5" max="5"/>
    <col width="10" customWidth="1" min="6" max="6"/>
    <col width="30" customWidth="1" min="7" max="7"/>
    <col width="10" customWidth="1" min="8" max="8"/>
  </cols>
  <sheetData>
    <row r="1">
      <c r="A1" s="1" t="inlineStr">
        <is>
          <t>REGISTRE DES SOURCES (consolidé à partir de 01_RECHERCHE/sources/*.csv)</t>
        </is>
      </c>
    </row>
    <row r="3">
      <c r="A3" s="4" t="inlineStr">
        <is>
          <t>Identifiant</t>
        </is>
      </c>
      <c r="B3" s="4" t="inlineStr">
        <is>
          <t>Titre / donnée</t>
        </is>
      </c>
      <c r="C3" s="4" t="inlineStr">
        <is>
          <t>URL</t>
        </is>
      </c>
      <c r="D3" s="4" t="inlineStr">
        <is>
          <t>Type</t>
        </is>
      </c>
      <c r="E3" s="4" t="inlineStr">
        <is>
          <t>Consultée le</t>
        </is>
      </c>
      <c r="F3" s="4" t="inlineStr">
        <is>
          <t>Statut</t>
        </is>
      </c>
      <c r="G3" s="4" t="inlineStr">
        <is>
          <t>Utilisée dans</t>
        </is>
      </c>
      <c r="H3" s="4" t="inlineStr">
        <is>
          <t>Fiabilité</t>
        </is>
      </c>
    </row>
    <row r="4">
      <c r="A4" s="25" t="inlineStr">
        <is>
          <t>D-01</t>
        </is>
      </c>
      <c r="B4" s="8" t="inlineStr">
        <is>
          <t xml:space="preserve">Banque de France — Projections macroéconomiques intermédiaires, septembre 2026 (IPCH 2025 0,9 % </t>
        </is>
      </c>
      <c r="C4" s="25" t="inlineStr">
        <is>
          <t xml:space="preserve"> 2026 2,3 % </t>
        </is>
      </c>
      <c r="D4" s="25" t="inlineStr">
        <is>
          <t xml:space="preserve"> 2027 1,9 % </t>
        </is>
      </c>
      <c r="E4" s="25" t="inlineStr">
        <is>
          <t xml:space="preserve"> 2028 1,6 % </t>
        </is>
      </c>
      <c r="F4" s="25" t="inlineStr">
        <is>
          <t xml:space="preserve"> SMPT 2,0 / 2,6 / 2,4 % </t>
        </is>
      </c>
      <c r="G4" s="25" t="inlineStr">
        <is>
          <t xml:space="preserve"> PIB 0,4 / 0,9 / 1,2 %)</t>
        </is>
      </c>
      <c r="H4" s="25" t="inlineStr">
        <is>
          <t>https://www.banque-france.fr/fr/publications-et-statistiques/publications/projections-macroeconomiques-intermediaires-septembre-2026</t>
        </is>
      </c>
    </row>
    <row r="5">
      <c r="A5" s="25" t="inlineStr">
        <is>
          <t>D-02</t>
        </is>
      </c>
      <c r="B5" s="8" t="inlineStr">
        <is>
          <t>MySweetImmo (17/09/2026), citant Kretz Real Estate : environ 1 500 châteaux à vendre, environ 400 transactions par an, 18 à 24 mois pour vendre, prix affichés de 920 k€ à 20 M€, prix de vente moyen de 2,415 M€ sur le portefeuille Kretz</t>
        </is>
      </c>
      <c r="C5" s="25" t="inlineStr">
        <is>
          <t>https://www.mysweetimmo.com/2026/09/17/journees-du-patrimoine-pourquoi-vendre-un-chateau-peut-prendre-2-ans/</t>
        </is>
      </c>
      <c r="D5" s="25" t="inlineStr">
        <is>
          <t>presse immobilière citant un réseau d'agences</t>
        </is>
      </c>
      <c r="E5" s="25" t="inlineStr">
        <is>
          <t>2026-10-14</t>
        </is>
      </c>
      <c r="F5" s="25" t="inlineStr">
        <is>
          <t>page_lue</t>
        </is>
      </c>
      <c r="G5" s="25" t="inlineStr">
        <is>
          <t>valeur des biens (assurance, IFI, scénario de dette), liquidité</t>
        </is>
      </c>
      <c r="H5" s="25" t="inlineStr">
        <is>
          <t>moyenne</t>
        </is>
      </c>
    </row>
    <row r="6">
      <c r="A6" s="25" t="inlineStr">
        <is>
          <t>D-03</t>
        </is>
      </c>
      <c r="B6" s="8" t="inlineStr">
        <is>
          <t>Résultat de recherche : Barnes (septembre 2025), environ 45 000 châteaux en France, environ 1 500 en vente, de 400 k€ à 10 M€ et plus</t>
        </is>
      </c>
      <c r="C6" s="25" t="inlineStr">
        <is>
          <t>https://www.galivel.com/media/files/etude_pc_2025_1609.pdf</t>
        </is>
      </c>
      <c r="D6" s="25" t="inlineStr">
        <is>
          <t>étude d'agence (extrait)</t>
        </is>
      </c>
      <c r="E6" s="25" t="inlineStr">
        <is>
          <t>2026-10-14</t>
        </is>
      </c>
      <c r="F6" s="25" t="inlineStr">
        <is>
          <t>extrait</t>
        </is>
      </c>
      <c r="G6" s="25" t="inlineStr">
        <is>
          <t>contexte du marché</t>
        </is>
      </c>
      <c r="H6" s="25" t="inlineStr">
        <is>
          <t>moyenne</t>
        </is>
      </c>
    </row>
    <row r="7">
      <c r="A7" s="25" t="inlineStr">
        <is>
          <t>D-04</t>
        </is>
      </c>
      <c r="B7" s="8" t="inlineStr">
        <is>
          <t xml:space="preserve">Résultat de recherche : indice BT01, de 132,0 (janvier 2025) à 133,7 (décembre 2025), soit environ +1,3 % sur 2025 </t>
        </is>
      </c>
      <c r="C7" s="25" t="inlineStr">
        <is>
          <t xml:space="preserve"> composition de l'index actualisée en janvier 2026 (INSEE)</t>
        </is>
      </c>
      <c r="D7" s="25" t="inlineStr">
        <is>
          <t>https://www.weblex.fr/chiffres-cles/indice-national-du-batiment-bt-01-tous-corps-d-etat-annee-2025</t>
        </is>
      </c>
      <c r="E7" s="25" t="inlineStr">
        <is>
          <t>site d'information juridique reprenant l'INSEE</t>
        </is>
      </c>
      <c r="F7" s="25" t="inlineStr">
        <is>
          <t>2026-10-14</t>
        </is>
      </c>
      <c r="G7" s="25" t="inlineStr">
        <is>
          <t>extrait</t>
        </is>
      </c>
      <c r="H7" s="25" t="inlineStr">
        <is>
          <t>hypothèse d'inflation des travaux</t>
        </is>
      </c>
    </row>
    <row r="8">
      <c r="A8" s="25" t="inlineStr">
        <is>
          <t>D-05</t>
        </is>
      </c>
      <c r="B8" s="8" t="inlineStr">
        <is>
          <t>Résultat de recherche : Observatoire Crédit Logement/CSA, août 2026, taux moyen de 3,31 % (3,27 % sur 20 ans), crédits aux particuliers hors assurance</t>
        </is>
      </c>
      <c r="C8" s="25" t="inlineStr">
        <is>
          <t>https://selectra.info/finance/actualites/marche/credit-immobilier-taux-septembre-2026-hausse</t>
        </is>
      </c>
      <c r="D8" s="25" t="inlineStr">
        <is>
          <t>presse financière (extrait)</t>
        </is>
      </c>
      <c r="E8" s="25" t="inlineStr">
        <is>
          <t>2026-10-14</t>
        </is>
      </c>
      <c r="F8" s="25" t="inlineStr">
        <is>
          <t>extrait</t>
        </is>
      </c>
      <c r="G8" s="25" t="inlineStr">
        <is>
          <t>scénario de dette (borne basse, car il s'agit de crédits aux particuliers)</t>
        </is>
      </c>
      <c r="H8" s="25" t="inlineStr">
        <is>
          <t>moyenne</t>
        </is>
      </c>
    </row>
    <row r="9">
      <c r="A9" s="25" t="inlineStr">
        <is>
          <t>D-06</t>
        </is>
      </c>
      <c r="B9" s="8" t="inlineStr">
        <is>
          <t>Résultat de recherche : La Demeure Historique, note de mai 2019, « 40 000 € par an au minimum » pour un monument, hors ouverture au public et hors restauration (à lire en entier par R1)</t>
        </is>
      </c>
      <c r="C9" s="25" t="inlineStr">
        <is>
          <t>https://www.demeure-historique.org/wp-content/uploads/2019/06/Note-DH-DNS-05062019.pdf</t>
        </is>
      </c>
      <c r="D9" s="25" t="inlineStr">
        <is>
          <t>association de propriétaires (extrait)</t>
        </is>
      </c>
      <c r="E9" s="25" t="inlineStr">
        <is>
          <t>2026-10-14</t>
        </is>
      </c>
      <c r="F9" s="25" t="inlineStr">
        <is>
          <t>extrait</t>
        </is>
      </c>
      <c r="G9" s="25" t="inlineStr">
        <is>
          <t>budget S1 (plancher)</t>
        </is>
      </c>
      <c r="H9" s="25" t="inlineStr">
        <is>
          <t>moyenne</t>
        </is>
      </c>
    </row>
    <row r="10">
      <c r="A10" s="25" t="inlineStr">
        <is>
          <t>R1-01</t>
        </is>
      </c>
      <c r="B10" s="8" t="inlineStr">
        <is>
          <t>La Demeure Historique — Note « Dialogue national de Sécurité – Établissements patrimoniaux » (27 mai 2019, 3 p.)</t>
        </is>
      </c>
      <c r="C10" s="25" t="inlineStr">
        <is>
          <t>https://www.demeure-historique.org/wp-content/uploads/2019/06/Note-DH-DNS-05062019.pdf</t>
        </is>
      </c>
      <c r="D10" s="25" t="inlineStr">
        <is>
          <t>note d'association (propriétaires privés de MH)</t>
        </is>
      </c>
      <c r="E10" s="25" t="inlineStr">
        <is>
          <t>2026-10-14</t>
        </is>
      </c>
      <c r="F10" s="25" t="inlineStr">
        <is>
          <t>page_lue</t>
        </is>
      </c>
      <c r="G10" s="25" t="inlineStr">
        <is>
          <t>§1 ratios globaux, §8 sûreté</t>
        </is>
      </c>
      <c r="H10" s="25" t="inlineStr">
        <is>
          <t>moyenne</t>
        </is>
      </c>
    </row>
    <row r="11">
      <c r="A11" s="25" t="inlineStr">
        <is>
          <t>R1-02</t>
        </is>
      </c>
      <c r="B11" s="8" t="inlineStr">
        <is>
          <t>La Demeure Historique — Communiqué de presse « La transmission des monuments historiques » (21 octobre 2019, 1 p.)</t>
        </is>
      </c>
      <c r="C11" s="25" t="inlineStr">
        <is>
          <t>https://www.demeure-historique.org/wp-content/uploads/2022/05/La-transmission-des-monuments-historiques.pdf</t>
        </is>
      </c>
      <c r="D11" s="25" t="inlineStr">
        <is>
          <t>communiqué de presse</t>
        </is>
      </c>
      <c r="E11" s="25" t="inlineStr">
        <is>
          <t>2026-10-14</t>
        </is>
      </c>
      <c r="F11" s="25" t="inlineStr">
        <is>
          <t>page_lue</t>
        </is>
      </c>
      <c r="G11" s="25" t="inlineStr">
        <is>
          <t>§1 (aucun chiffre de coût : document sans donnée exploitable)</t>
        </is>
      </c>
      <c r="H11" s="25" t="inlineStr">
        <is>
          <t>faible</t>
        </is>
      </c>
    </row>
    <row r="12">
      <c r="A12" s="25" t="inlineStr">
        <is>
          <t>R1-03</t>
        </is>
      </c>
      <c r="B12" s="8" t="inlineStr">
        <is>
          <t>La Demeure Historique, revue n° 201 (2016) — Dossier « Le financement public des travaux dans les monuments historiques privés » (A. Proust)</t>
        </is>
      </c>
      <c r="C12" s="25" t="inlineStr">
        <is>
          <t>https://www.demeure-historique.org/wp-content/uploads/2022/09/article-DH201-financement-public-des-travaux.pdf</t>
        </is>
      </c>
      <c r="D12" s="25" t="inlineStr">
        <is>
          <t>article de revue d'association (données 1997-2014)</t>
        </is>
      </c>
      <c r="E12" s="25" t="inlineStr">
        <is>
          <t>2026-10-14</t>
        </is>
      </c>
      <c r="F12" s="25" t="inlineStr">
        <is>
          <t>page_lue</t>
        </is>
      </c>
      <c r="G12" s="25" t="inlineStr">
        <is>
          <t>§6 subventions</t>
        </is>
      </c>
      <c r="H12" s="25" t="inlineStr">
        <is>
          <t>moyenne</t>
        </is>
      </c>
    </row>
    <row r="13">
      <c r="A13" s="25" t="inlineStr">
        <is>
          <t>R1-04</t>
        </is>
      </c>
      <c r="B13" s="8" t="inlineStr">
        <is>
          <t>Museums Association, Museums Journal — « New report highlights ongoing risk of repair backlog at historic houses » (R. Atkinson, 18 novembre 2025)</t>
        </is>
      </c>
      <c r="C13" s="25" t="inlineStr">
        <is>
          <t>https://www.museumsassociation.org/museums-journal/news/2025/11/new-report-highlights-ongoing-risk-of-repair-backlog-at-historic-houses/</t>
        </is>
      </c>
      <c r="D13" s="25" t="inlineStr">
        <is>
          <t>presse professionnelle (Royaume-Uni)</t>
        </is>
      </c>
      <c r="E13" s="25" t="inlineStr">
        <is>
          <t>2026-10-14</t>
        </is>
      </c>
      <c r="F13" s="25" t="inlineStr">
        <is>
          <t>page_lue</t>
        </is>
      </c>
      <c r="G13" s="25" t="inlineStr">
        <is>
          <t>§1.2 Historic Houses</t>
        </is>
      </c>
      <c r="H13" s="25" t="inlineStr">
        <is>
          <t>moyenne</t>
        </is>
      </c>
    </row>
    <row r="14">
      <c r="A14" s="25" t="inlineStr">
        <is>
          <t>R1-05</t>
        </is>
      </c>
      <c r="B14" s="8" t="inlineStr">
        <is>
          <t>Harlow Consulting pour Historic Houses — « VAT-Rebates for Repairs to Publicly Accessible Heritage Sites » (rapport, 73 p., 28 janvier 2025, enquête 2024 n=121)</t>
        </is>
      </c>
      <c r="C14" s="25" t="inlineStr">
        <is>
          <t>https://cdn.historichouses.org/app/uploads/2025/01/hh-vat-research-report-final-v4-20250128.pdf</t>
        </is>
      </c>
      <c r="D14" s="25" t="inlineStr">
        <is>
          <t>rapport d'étude commandé par une association de propriétaires (Royaume-Uni)</t>
        </is>
      </c>
      <c r="E14" s="25" t="inlineStr">
        <is>
          <t>2026-10-14</t>
        </is>
      </c>
      <c r="F14" s="25" t="inlineStr">
        <is>
          <t>page_lue</t>
        </is>
      </c>
      <c r="G14" s="25" t="inlineStr">
        <is>
          <t>§1.2 dépenses d'entretien par maison, retard d'entretien, études de cas, assurance</t>
        </is>
      </c>
      <c r="H14" s="25" t="inlineStr">
        <is>
          <t>moyenne</t>
        </is>
      </c>
    </row>
    <row r="15">
      <c r="A15" s="25" t="inlineStr">
        <is>
          <t>R1-06</t>
        </is>
      </c>
      <c r="B15" s="8" t="inlineStr">
        <is>
          <t>Historic Houses — infographie « Key findings from the Historic Houses member surveys » (2025, données enquêtes 2024/25 et 2022)</t>
        </is>
      </c>
      <c r="C15" s="25" t="inlineStr">
        <is>
          <t>https://cdn.historichouses.org/app/uploads/2025/04/10-planning-infographic-2025-v1.pdf</t>
        </is>
      </c>
      <c r="D15" s="25" t="inlineStr">
        <is>
          <t>infographie d'association (Royaume-Uni)</t>
        </is>
      </c>
      <c r="E15" s="25" t="inlineStr">
        <is>
          <t>2026-10-14</t>
        </is>
      </c>
      <c r="F15" s="25" t="inlineStr">
        <is>
          <t>page_lue</t>
        </is>
      </c>
      <c r="G15" s="25" t="inlineStr">
        <is>
          <t>§1.2 retard d'entretien 2 Md£, 160 000 £/an</t>
        </is>
      </c>
      <c r="H15" s="25" t="inlineStr">
        <is>
          <t>moyenne</t>
        </is>
      </c>
    </row>
    <row r="16">
      <c r="A16" s="25" t="inlineStr">
        <is>
          <t>R1-07</t>
        </is>
      </c>
      <c r="B16" s="8" t="inlineStr">
        <is>
          <t>National Research Council (2001) — « Deferred Maintenance Reporting for Federal Facilities », chapitre « Inadequate Funding for Maintenance and Repair » (cite le rapport NRC 1990 « Committing to the Cost of Ownership »)</t>
        </is>
      </c>
      <c r="C16" s="25" t="inlineStr">
        <is>
          <t>https://www.nationalacademies.org/read/10095/chapter/35</t>
        </is>
      </c>
      <c r="D16" s="25" t="inlineStr">
        <is>
          <t>rapport académique (États-Unis, bâtiments publics)</t>
        </is>
      </c>
      <c r="E16" s="25" t="inlineStr">
        <is>
          <t>2026-10-14</t>
        </is>
      </c>
      <c r="F16" s="25" t="inlineStr">
        <is>
          <t>page_lue</t>
        </is>
      </c>
      <c r="G16" s="25" t="inlineStr">
        <is>
          <t>§1.3 règle de pouce 2 à 4 % de la valeur de remplacement</t>
        </is>
      </c>
      <c r="H16" s="25" t="inlineStr">
        <is>
          <t>haute</t>
        </is>
      </c>
    </row>
    <row r="17">
      <c r="A17" s="25" t="inlineStr">
        <is>
          <t>R1-08</t>
        </is>
      </c>
      <c r="B17" s="8" t="inlineStr">
        <is>
          <t>Résultat de recherche (synthèse) sur la recommandation NRC 1990 « 2 to 4 percent of current replacement value » (« absolute minimum », backlog)</t>
        </is>
      </c>
      <c r="C17" s="25" t="inlineStr">
        <is>
          <t>https://nap.nationalacademies.org/read/9807/chapter/4</t>
        </is>
      </c>
      <c r="D17" s="25" t="inlineStr">
        <is>
          <t>extrait de moteur de recherche</t>
        </is>
      </c>
      <c r="E17" s="25" t="inlineStr">
        <is>
          <t>2026-10-14</t>
        </is>
      </c>
      <c r="F17" s="25" t="inlineStr">
        <is>
          <t>extrait</t>
        </is>
      </c>
      <c r="G17" s="25" t="inlineStr">
        <is>
          <t>§1.3</t>
        </is>
      </c>
      <c r="H17" s="25" t="inlineStr">
        <is>
          <t>moyenne</t>
        </is>
      </c>
    </row>
    <row r="18">
      <c r="A18" s="25" t="inlineStr">
        <is>
          <t>R1-09</t>
        </is>
      </c>
      <c r="B18" s="8" t="inlineStr">
        <is>
          <t>La Demeure Historique — Compte rendu de la table ronde 1 du 98e congrès national (document du 14 février 2023)</t>
        </is>
      </c>
      <c r="C18" s="25" t="inlineStr">
        <is>
          <t>https://www.demeure-historique.org/wp-content/uploads/2023/02/98e-Congres-national-CR-TR1.pdf</t>
        </is>
      </c>
      <c r="D18" s="25" t="inlineStr">
        <is>
          <t>compte rendu de colloque (propos de la DGPA, de parlementaires)</t>
        </is>
      </c>
      <c r="E18" s="25" t="inlineStr">
        <is>
          <t>2026-10-14</t>
        </is>
      </c>
      <c r="F18" s="25" t="inlineStr">
        <is>
          <t>page_lue</t>
        </is>
      </c>
      <c r="G18" s="25" t="inlineStr">
        <is>
          <t>§3 énergie (combles), §6 FIP</t>
        </is>
      </c>
      <c r="H18" s="25" t="inlineStr">
        <is>
          <t>moyenne</t>
        </is>
      </c>
    </row>
    <row r="19">
      <c r="A19" s="25" t="inlineStr">
        <is>
          <t>R1-10</t>
        </is>
      </c>
      <c r="B19" s="8" t="inlineStr">
        <is>
          <t>La Demeure Historique — « 2017-2022 Quels enjeux pour le patrimoine et les monuments historiques de notre pays ? Sept questions aux candidats aux élections législatives » (mai 2017, 22 p., inclut l'enquête « Tournelle » sur 513 monuments, données 2010)</t>
        </is>
      </c>
      <c r="C19" s="25" t="inlineStr">
        <is>
          <t>https://www.demeure-historique.org/wp-content/uploads/2017/05/Dossier-legislatives.pdf</t>
        </is>
      </c>
      <c r="D19" s="25" t="inlineStr">
        <is>
          <t>document de plaidoyer d'association</t>
        </is>
      </c>
      <c r="E19" s="25" t="inlineStr">
        <is>
          <t>2026-10-14</t>
        </is>
      </c>
      <c r="F19" s="25" t="inlineStr">
        <is>
          <t>page_lue</t>
        </is>
      </c>
      <c r="G19" s="25" t="inlineStr">
        <is>
          <t>§1.1, contre-exemples (MH en vente, durée de détention), ERP</t>
        </is>
      </c>
      <c r="H19" s="25" t="inlineStr">
        <is>
          <t>moyenne</t>
        </is>
      </c>
    </row>
    <row r="20">
      <c r="A20" s="25" t="inlineStr">
        <is>
          <t>R1-11</t>
        </is>
      </c>
      <c r="B20" s="8" t="inlineStr">
        <is>
          <t>Fondation du patrimoine — page projet « Château de Jarnioux » (Rhône), devis par phase de couverture 2021-2023</t>
        </is>
      </c>
      <c r="C20" s="25" t="inlineStr">
        <is>
          <t>https://www.fondation-patrimoine.org/les-projets/chateau-de-jarnioux/76090</t>
        </is>
      </c>
      <c r="D20" s="25" t="inlineStr">
        <is>
          <t>page projet de fondation reconnue d'utilité publique</t>
        </is>
      </c>
      <c r="E20" s="25" t="inlineStr">
        <is>
          <t>2026-10-14</t>
        </is>
      </c>
      <c r="F20" s="25" t="inlineStr">
        <is>
          <t>page_lue</t>
        </is>
      </c>
      <c r="G20" s="25" t="inlineStr">
        <is>
          <t>§2 montants de chantiers</t>
        </is>
      </c>
      <c r="H20" s="25" t="inlineStr">
        <is>
          <t>moyenne</t>
        </is>
      </c>
    </row>
    <row r="21">
      <c r="A21" s="25" t="inlineStr">
        <is>
          <t>R1-12</t>
        </is>
      </c>
      <c r="B21" s="8" t="inlineStr">
        <is>
          <t>Fondation du patrimoine — page projet « Château de Bas à Champigneulles » (Meurthe-et-Moselle), Loto du patrimoine 2022</t>
        </is>
      </c>
      <c r="C21" s="25" t="inlineStr">
        <is>
          <t>https://www.fondation-patrimoine.org/les-projets/chateau-de-bas-a-champigneulles/79953</t>
        </is>
      </c>
      <c r="D21" s="25" t="inlineStr">
        <is>
          <t>page projet de fondation reconnue d'utilité publique</t>
        </is>
      </c>
      <c r="E21" s="25" t="inlineStr">
        <is>
          <t>2026-10-14</t>
        </is>
      </c>
      <c r="F21" s="25" t="inlineStr">
        <is>
          <t>page_lue</t>
        </is>
      </c>
      <c r="G21" s="25" t="inlineStr">
        <is>
          <t>§2 montants, §6 Loto du patrimoine</t>
        </is>
      </c>
      <c r="H21" s="25" t="inlineStr">
        <is>
          <t>moyenne</t>
        </is>
      </c>
    </row>
    <row r="22">
      <c r="A22" s="25" t="inlineStr">
        <is>
          <t>R1-13</t>
        </is>
      </c>
      <c r="B22" s="8" t="inlineStr">
        <is>
          <t>Fondation du patrimoine — page projet « Les toitures du château de Vauville » (Manche, inscrit MH), Loto du patrimoine 2025</t>
        </is>
      </c>
      <c r="C22" s="25" t="inlineStr">
        <is>
          <t>https://www.fondation-patrimoine.org/les-projets/les-toitures-du-chateau-de-vauville/103583</t>
        </is>
      </c>
      <c r="D22" s="25" t="inlineStr">
        <is>
          <t>page projet de fondation reconnue d'utilité publique</t>
        </is>
      </c>
      <c r="E22" s="25" t="inlineStr">
        <is>
          <t>2026-10-14</t>
        </is>
      </c>
      <c r="F22" s="25" t="inlineStr">
        <is>
          <t>page_lue</t>
        </is>
      </c>
      <c r="G22" s="25" t="inlineStr">
        <is>
          <t>§2 montants, §6 Loto du patrimoine</t>
        </is>
      </c>
      <c r="H22" s="25" t="inlineStr">
        <is>
          <t>moyenne</t>
        </is>
      </c>
    </row>
    <row r="23">
      <c r="A23" s="25" t="inlineStr">
        <is>
          <t>R1-14</t>
        </is>
      </c>
      <c r="B23" s="8" t="inlineStr">
        <is>
          <t>Fondation du patrimoine — page projet « Château de Montautre à Fromental »</t>
        </is>
      </c>
      <c r="C23" s="25" t="inlineStr">
        <is>
          <t>https://www.fondation-patrimoine.org/les-projets/chateau-de-montautre-a-fromental/78692</t>
        </is>
      </c>
      <c r="D23" s="25" t="inlineStr">
        <is>
          <t>page projet de fondation reconnue d'utilité publique</t>
        </is>
      </c>
      <c r="E23" s="25" t="inlineStr">
        <is>
          <t>2026-10-14</t>
        </is>
      </c>
      <c r="F23" s="25" t="inlineStr">
        <is>
          <t>page_lue</t>
        </is>
      </c>
      <c r="G23" s="25" t="inlineStr">
        <is>
          <t>§2 montants de chantiers</t>
        </is>
      </c>
      <c r="H23" s="25" t="inlineStr">
        <is>
          <t>moyenne</t>
        </is>
      </c>
    </row>
    <row r="24">
      <c r="A24" s="25" t="inlineStr">
        <is>
          <t>R1-15</t>
        </is>
      </c>
      <c r="B24" s="8" t="inlineStr">
        <is>
          <t>Fondation du patrimoine — page projet « Château de Grainville » (Eure)</t>
        </is>
      </c>
      <c r="C24" s="25" t="inlineStr">
        <is>
          <t>https://www.fondation-patrimoine.org/les-projets/chateau-de-grainville/80357</t>
        </is>
      </c>
      <c r="D24" s="25" t="inlineStr">
        <is>
          <t>page projet de fondation reconnue d'utilité publique</t>
        </is>
      </c>
      <c r="E24" s="25" t="inlineStr">
        <is>
          <t>2026-10-14</t>
        </is>
      </c>
      <c r="F24" s="25" t="inlineStr">
        <is>
          <t>page_lue</t>
        </is>
      </c>
      <c r="G24" s="25" t="inlineStr">
        <is>
          <t>§2 montants de chantiers</t>
        </is>
      </c>
      <c r="H24" s="25" t="inlineStr">
        <is>
          <t>moyenne</t>
        </is>
      </c>
    </row>
    <row r="25">
      <c r="A25" s="25" t="inlineStr">
        <is>
          <t>R1-16</t>
        </is>
      </c>
      <c r="B25" s="8" t="inlineStr">
        <is>
          <t>Fondation du patrimoine — page projet « Château de Meung-sur-Loire » (Loiret), Loto du patrimoine</t>
        </is>
      </c>
      <c r="C25" s="25" t="inlineStr">
        <is>
          <t>https://www.fondation-patrimoine.org/les-projets/chateau-de-meung-sur-loire/67394</t>
        </is>
      </c>
      <c r="D25" s="25" t="inlineStr">
        <is>
          <t>page projet de fondation reconnue d'utilité publique</t>
        </is>
      </c>
      <c r="E25" s="25" t="inlineStr">
        <is>
          <t>2026-10-14</t>
        </is>
      </c>
      <c r="F25" s="25" t="inlineStr">
        <is>
          <t>page_lue</t>
        </is>
      </c>
      <c r="G25" s="25" t="inlineStr">
        <is>
          <t>§2 montants, §6 Loto du patrimoine</t>
        </is>
      </c>
      <c r="H25" s="25" t="inlineStr">
        <is>
          <t>moyenne</t>
        </is>
      </c>
    </row>
    <row r="26">
      <c r="A26" s="25" t="inlineStr">
        <is>
          <t>R1-17</t>
        </is>
      </c>
      <c r="B26" s="8" t="inlineStr">
        <is>
          <t>Ministère de la Culture, DRAC Grand Est — « Le donjon du château fort de Sedan en restauration » (7 juin 2024)</t>
        </is>
      </c>
      <c r="C26" s="25" t="inlineStr">
        <is>
          <t>https://www.culture.gouv.fr/regions/drac-grand-est/actu/an/2024/le-donjon-du-chateau-fort-de-sedan-en-restauration</t>
        </is>
      </c>
      <c r="D26" s="25" t="inlineStr">
        <is>
          <t>site officiel (ministère)</t>
        </is>
      </c>
      <c r="E26" s="25" t="inlineStr">
        <is>
          <t>2026-10-14</t>
        </is>
      </c>
      <c r="F26" s="25" t="inlineStr">
        <is>
          <t>page_lue</t>
        </is>
      </c>
      <c r="G26" s="25" t="inlineStr">
        <is>
          <t>§2 montant de chantier, §6 taux DRAC</t>
        </is>
      </c>
      <c r="H26" s="25" t="inlineStr">
        <is>
          <t>haute</t>
        </is>
      </c>
    </row>
    <row r="27">
      <c r="A27" s="25" t="inlineStr">
        <is>
          <t>R1-18</t>
        </is>
      </c>
      <c r="B27" s="8" t="inlineStr">
        <is>
          <t>Ministère de la Culture (sous-direction des MH) — « Ouvrages de couverture – Ardoises. Fascicule technique, CCTP, bordereau de prix unitaire, mode de métré » (août 2011, 132 p.)</t>
        </is>
      </c>
      <c r="C27" s="25" t="inlineStr">
        <is>
          <t>https://www.culture.gouv.fr/content/download/50134/file/GuideMoaMoe_Couverture_Ardoises_20110801.pdf</t>
        </is>
      </c>
      <c r="D27" s="25" t="inlineStr">
        <is>
          <t>guide technique officiel</t>
        </is>
      </c>
      <c r="E27" s="25" t="inlineStr">
        <is>
          <t>2026-10-14</t>
        </is>
      </c>
      <c r="F27" s="25" t="inlineStr">
        <is>
          <t>page_lue</t>
        </is>
      </c>
      <c r="G27" s="25" t="inlineStr">
        <is>
          <t>§2 entretien des couvertures (aucun prix dans le bordereau)</t>
        </is>
      </c>
      <c r="H27" s="25" t="inlineStr">
        <is>
          <t>haute</t>
        </is>
      </c>
    </row>
    <row r="28">
      <c r="A28" s="25" t="inlineStr">
        <is>
          <t>R1-19</t>
        </is>
      </c>
      <c r="B28" s="8" t="inlineStr">
        <is>
          <t>Ville de Bayonne — délibération n° 43 du 18 juillet 2019 « Église Saint-André – Réfection à l'identique de la couverture de la chapelle de l'Adoration »</t>
        </is>
      </c>
      <c r="C28" s="25" t="inlineStr">
        <is>
          <t>https://www.bayonne.fr/fileadmin/medias/Publications/Deliberations/Conseil_municipal_du_18_juillet_2019/N___43_-_PATRIMOINE_IMMOBILIER_-_Eglise_Saint-Andre_-_Refection_couverture_chapelle_de_l_Adoration_-_Autorisation_depot_declaration_prealable_correspondante.pdf</t>
        </is>
      </c>
      <c r="D28" s="25" t="inlineStr">
        <is>
          <t>délibération municipale</t>
        </is>
      </c>
      <c r="E28" s="25" t="inlineStr">
        <is>
          <t>2026-10-14</t>
        </is>
      </c>
      <c r="F28" s="25" t="inlineStr">
        <is>
          <t>page_lue</t>
        </is>
      </c>
      <c r="G28" s="25" t="inlineStr">
        <is>
          <t>§2 (aucun montant : document sans donnée chiffrée)</t>
        </is>
      </c>
      <c r="H28" s="25" t="inlineStr">
        <is>
          <t>faible</t>
        </is>
      </c>
    </row>
    <row r="29">
      <c r="A29" s="25" t="inlineStr">
        <is>
          <t>R1-20</t>
        </is>
      </c>
      <c r="B29" s="8" t="inlineStr">
        <is>
          <t>La Maison Saint-Gobain — « Les avantages d'une toiture en zinc » (mis à jour le 4 décembre 2025)</t>
        </is>
      </c>
      <c r="C29" s="25" t="inlineStr">
        <is>
          <t>https://www.lamaisonsaintgobain.fr/guides-travaux/toiture-charpente/les-avantages-d-une-toiture-en-zinc</t>
        </is>
      </c>
      <c r="D29" s="25" t="inlineStr">
        <is>
          <t>site d'un industriel (contenu commercial)</t>
        </is>
      </c>
      <c r="E29" s="25" t="inlineStr">
        <is>
          <t>2026-10-14</t>
        </is>
      </c>
      <c r="F29" s="25" t="inlineStr">
        <is>
          <t>page_lue</t>
        </is>
      </c>
      <c r="G29" s="25" t="inlineStr">
        <is>
          <t>§2 durées de vie couvertures</t>
        </is>
      </c>
      <c r="H29" s="25" t="inlineStr">
        <is>
          <t>faible</t>
        </is>
      </c>
    </row>
    <row r="30">
      <c r="A30" s="25" t="inlineStr">
        <is>
          <t>R1-21</t>
        </is>
      </c>
      <c r="B30" s="8" t="inlineStr">
        <is>
          <t>SDES / ONRE — « Le parc de logements par classe de performance énergétique au 1er janvier 2025 » (novembre 2025, 9 p.)</t>
        </is>
      </c>
      <c r="C30" s="25" t="inlineStr">
        <is>
          <t>https://www.locservice.fr/actualites/wp-content/uploads/statistiques-sdes-rapport-15-onre-parc-logements-dpe-1er-janvier-2025-nov2025.pdf</t>
        </is>
      </c>
      <c r="D30" s="25" t="inlineStr">
        <is>
          <t>statistique publique (copie du PDF officiel hébergée par un tiers)</t>
        </is>
      </c>
      <c r="E30" s="25" t="inlineStr">
        <is>
          <t>2026-10-14</t>
        </is>
      </c>
      <c r="F30" s="25" t="inlineStr">
        <is>
          <t>page_lue</t>
        </is>
      </c>
      <c r="G30" s="25" t="inlineStr">
        <is>
          <t>§3 énergie (bâti d'avant 1948, fioul)</t>
        </is>
      </c>
      <c r="H30" s="25" t="inlineStr">
        <is>
          <t>haute</t>
        </is>
      </c>
    </row>
    <row r="31">
      <c r="A31" s="25" t="inlineStr">
        <is>
          <t>R1-22</t>
        </is>
      </c>
      <c r="B31" s="8" t="inlineStr">
        <is>
          <t>Hellio (blog) — « Quelle énergie est la moins chère pour se chauffer ? » (mis à jour le 27 janvier 2025), tableau des prix 2018-2023 repris de l'enquête ADEME sur les prix des combustibles bois 2023</t>
        </is>
      </c>
      <c r="C31" s="25" t="inlineStr">
        <is>
          <t>https://particulier.hellio.com/blog/conseils/energie-moins-chere</t>
        </is>
      </c>
      <c r="D31" s="25" t="inlineStr">
        <is>
          <t>site commercial reprenant une source publique (ADEME)</t>
        </is>
      </c>
      <c r="E31" s="25" t="inlineStr">
        <is>
          <t>2026-10-14</t>
        </is>
      </c>
      <c r="F31" s="25" t="inlineStr">
        <is>
          <t>page_lue</t>
        </is>
      </c>
      <c r="G31" s="25" t="inlineStr">
        <is>
          <t>§3 prix des énergies 2018-2023</t>
        </is>
      </c>
      <c r="H31" s="25" t="inlineStr">
        <is>
          <t>moyenne</t>
        </is>
      </c>
    </row>
    <row r="32">
      <c r="A32" s="25" t="inlineStr">
        <is>
          <t>R1-23</t>
        </is>
      </c>
      <c r="B32" s="8" t="inlineStr">
        <is>
          <t>ADEME Librairie — fiches « Enquête sur les prix des combustibles bois en 2023 » et « … en 2024 » (édition 05/2025, mise en ligne 29/10/2025) — PDF accessibles seulement contre adresse e-mail (non téléchargés)</t>
        </is>
      </c>
      <c r="C32" s="25" t="inlineStr">
        <is>
          <t>https://librairie.ademe.fr/energies/8718-enquete-sur-les-prix-des-combustibles-bois-en-2024.html</t>
        </is>
      </c>
      <c r="D32" s="25" t="inlineStr">
        <is>
          <t>agence publique (fiche catalogue)</t>
        </is>
      </c>
      <c r="E32" s="25" t="inlineStr">
        <is>
          <t>2026-10-14</t>
        </is>
      </c>
      <c r="F32" s="25" t="inlineStr">
        <is>
          <t>page_lue</t>
        </is>
      </c>
      <c r="G32" s="25" t="inlineStr">
        <is>
          <t>§3 (aucun chiffre sur la fiche)</t>
        </is>
      </c>
      <c r="H32" s="25" t="inlineStr">
        <is>
          <t>haute</t>
        </is>
      </c>
    </row>
    <row r="33">
      <c r="A33" s="25" t="inlineStr">
        <is>
          <t>R1-24</t>
        </is>
      </c>
      <c r="B33" s="8" t="inlineStr">
        <is>
          <t>Service-public.gouv.fr — actualité « Quelle évolution pour votre facture d'électricité au 1er août ? » (21 juillet 2026)</t>
        </is>
      </c>
      <c r="C33" s="25" t="inlineStr">
        <is>
          <t>https://www.service-public.gouv.fr/particuliers/actualites/A18776</t>
        </is>
      </c>
      <c r="D33" s="25" t="inlineStr">
        <is>
          <t>site officiel (DILA)</t>
        </is>
      </c>
      <c r="E33" s="25" t="inlineStr">
        <is>
          <t>2026-10-14</t>
        </is>
      </c>
      <c r="F33" s="25" t="inlineStr">
        <is>
          <t>page_lue</t>
        </is>
      </c>
      <c r="G33" s="25" t="inlineStr">
        <is>
          <t>§3 électricité TRVE 2026</t>
        </is>
      </c>
      <c r="H33" s="25" t="inlineStr">
        <is>
          <t>haute</t>
        </is>
      </c>
    </row>
    <row r="34">
      <c r="A34" s="25" t="inlineStr">
        <is>
          <t>R1-25</t>
        </is>
      </c>
      <c r="B34" s="8" t="inlineStr">
        <is>
          <t>Service-public.gouv.fr — actualité « Le prix repère de vente de gaz va augmenter de 6,6 % en novembre » (12 octobre 2026)</t>
        </is>
      </c>
      <c r="C34" s="25" t="inlineStr">
        <is>
          <t>https://www.service-public.gouv.fr/particuliers/actualites/A17956</t>
        </is>
      </c>
      <c r="D34" s="25" t="inlineStr">
        <is>
          <t>site officiel (DILA)</t>
        </is>
      </c>
      <c r="E34" s="25" t="inlineStr">
        <is>
          <t>2026-10-14</t>
        </is>
      </c>
      <c r="F34" s="25" t="inlineStr">
        <is>
          <t>page_lue</t>
        </is>
      </c>
      <c r="G34" s="25" t="inlineStr">
        <is>
          <t>§3 gaz 2026</t>
        </is>
      </c>
      <c r="H34" s="25" t="inlineStr">
        <is>
          <t>haute</t>
        </is>
      </c>
    </row>
    <row r="35">
      <c r="A35" s="25" t="inlineStr">
        <is>
          <t>R1-26</t>
        </is>
      </c>
      <c r="B35" s="8" t="inlineStr">
        <is>
          <t>Le Figaro (A. Michel) — « Comment assurer un bien exceptionnel ? » (25 février 2020), coupure de presse hébergée par le Groupe Mercure</t>
        </is>
      </c>
      <c r="C35" s="25" t="inlineStr">
        <is>
          <t>https://groupe-mercure.fr/wp-content/uploads/2022/11/2020-02-25-wwwlefigarofr-assurer-bien-exceptionnel.pdf</t>
        </is>
      </c>
      <c r="D35" s="25" t="inlineStr">
        <is>
          <t>presse nationale (propos d'un courtier, SLA-Verspieren)</t>
        </is>
      </c>
      <c r="E35" s="25" t="inlineStr">
        <is>
          <t>2026-10-14</t>
        </is>
      </c>
      <c r="F35" s="25" t="inlineStr">
        <is>
          <t>page_lue</t>
        </is>
      </c>
      <c r="G35" s="25" t="inlineStr">
        <is>
          <t>§4 assurance (prime minimale, valeur de reconstruction)</t>
        </is>
      </c>
      <c r="H35" s="25" t="inlineStr">
        <is>
          <t>moyenne</t>
        </is>
      </c>
    </row>
    <row r="36">
      <c r="A36" s="25" t="inlineStr">
        <is>
          <t>R1-27</t>
        </is>
      </c>
      <c r="B36" s="8" t="inlineStr">
        <is>
          <t>France Épargne — « Assurance château 2026 : 15 000 à 30 000 €/an (600 m² et +) » (21 novembre 2025, mis à jour le 25 mai 2026)</t>
        </is>
      </c>
      <c r="C36" s="25" t="inlineStr">
        <is>
          <t>https://www.france-epargne.fr/academy/assurance-patrimoine/assurance-chateau-le-guide-complet-2025</t>
        </is>
      </c>
      <c r="D36" s="25" t="inlineStr">
        <is>
          <t>site d'un courtier (contenu commercial, chiffres non sourcés)</t>
        </is>
      </c>
      <c r="E36" s="25" t="inlineStr">
        <is>
          <t>2026-10-14</t>
        </is>
      </c>
      <c r="F36" s="25" t="inlineStr">
        <is>
          <t>page_lue</t>
        </is>
      </c>
      <c r="G36" s="25" t="inlineStr">
        <is>
          <t>§4 assurance (taux 5 ‰, primes par surface, coût de reconstruction), §2 toiture</t>
        </is>
      </c>
      <c r="H36" s="25" t="inlineStr">
        <is>
          <t>faible</t>
        </is>
      </c>
    </row>
    <row r="37">
      <c r="A37" s="25" t="inlineStr">
        <is>
          <t>R1-28</t>
        </is>
      </c>
      <c r="B37" s="8" t="inlineStr">
        <is>
          <t>Assemblée nationale — Question écrite n° 12985 (T. Frappé) « Difficultés d'assurance et fermeture au public du château d'Olhain », QE publiée au JO le 17 février 2026, réponse le 28 avril 2026</t>
        </is>
      </c>
      <c r="C37" s="25" t="inlineStr">
        <is>
          <t>https://questions.assemblee-nationale.fr/dyn/17/questions/QANR5L17QE12985.pdf</t>
        </is>
      </c>
      <c r="D37" s="25" t="inlineStr">
        <is>
          <t>document parlementaire officiel</t>
        </is>
      </c>
      <c r="E37" s="25" t="inlineStr">
        <is>
          <t>2026-10-14</t>
        </is>
      </c>
      <c r="F37" s="25" t="inlineStr">
        <is>
          <t>page_lue</t>
        </is>
      </c>
      <c r="G37" s="25" t="inlineStr">
        <is>
          <t>§4 assurance, contre-exemples</t>
        </is>
      </c>
      <c r="H37" s="25" t="inlineStr">
        <is>
          <t>haute</t>
        </is>
      </c>
    </row>
    <row r="38">
      <c r="A38" s="25" t="inlineStr">
        <is>
          <t>R1-29</t>
        </is>
      </c>
      <c r="B38" s="8" t="inlineStr">
        <is>
          <t>France Épargne — actualité « Châteaux et demeures de prestige : la nouvelle carte des argiles et la surprime CatNat alourdissent la facture » (7 juillet 2026)</t>
        </is>
      </c>
      <c r="C38" s="25" t="inlineStr">
        <is>
          <t>https://www.france-epargne.fr/news/chateaux-et-demeures-de-prestige-la-nouvelle-carte-des-argiles-et-la-surprime-catnat-alourdissent-la.md</t>
        </is>
      </c>
      <c r="D38" s="25" t="inlineStr">
        <is>
          <t>site d'un courtier (reprend l'arrêté du 22 décembre 2023 et France Assureurs)</t>
        </is>
      </c>
      <c r="E38" s="25" t="inlineStr">
        <is>
          <t>2026-10-14</t>
        </is>
      </c>
      <c r="F38" s="25" t="inlineStr">
        <is>
          <t>page_lue</t>
        </is>
      </c>
      <c r="G38" s="25" t="inlineStr">
        <is>
          <t>§4 assurance (surprime CatNat), §7 imprévus</t>
        </is>
      </c>
      <c r="H38" s="25" t="inlineStr">
        <is>
          <t>moyenne</t>
        </is>
      </c>
    </row>
    <row r="39">
      <c r="A39" s="25" t="inlineStr">
        <is>
          <t>R1-30</t>
        </is>
      </c>
      <c r="B39" s="8" t="inlineStr">
        <is>
          <t>Service-public.gouv.fr — fiche F59 « Taxe foncière sur les propriétés bâties » (vérifiée le 25 septembre 2026)</t>
        </is>
      </c>
      <c r="C39" s="25" t="inlineStr">
        <is>
          <t>https://www.service-public.gouv.fr/particuliers/vosdroits/F59</t>
        </is>
      </c>
      <c r="D39" s="25" t="inlineStr">
        <is>
          <t>site officiel (DILA)</t>
        </is>
      </c>
      <c r="E39" s="25" t="inlineStr">
        <is>
          <t>2026-10-14</t>
        </is>
      </c>
      <c r="F39" s="25" t="inlineStr">
        <is>
          <t>page_lue</t>
        </is>
      </c>
      <c r="G39" s="25" t="inlineStr">
        <is>
          <t>§5 taxe foncière (calcul)</t>
        </is>
      </c>
      <c r="H39" s="25" t="inlineStr">
        <is>
          <t>haute</t>
        </is>
      </c>
    </row>
    <row r="40">
      <c r="A40" s="25" t="inlineStr">
        <is>
          <t>R1-31</t>
        </is>
      </c>
      <c r="B40" s="8" t="inlineStr">
        <is>
          <t>La Demeure Historique — fiche fiscalité F/7 « Impôts locaux : un monument historique est-il une maison exceptionnelle ? » (juin 2003, PDF 2012)</t>
        </is>
      </c>
      <c r="C40" s="25" t="inlineStr">
        <is>
          <t>https://www.demeure-historique.org/wp-content/uploads/2024/04/2-MH-et-maisons-exceptionnelles.pdf</t>
        </is>
      </c>
      <c r="D40" s="25" t="inlineStr">
        <is>
          <t>fiche technique d'association (jurisprudence 2000 et 2003)</t>
        </is>
      </c>
      <c r="E40" s="25" t="inlineStr">
        <is>
          <t>2026-10-14</t>
        </is>
      </c>
      <c r="F40" s="25" t="inlineStr">
        <is>
          <t>page_lue</t>
        </is>
      </c>
      <c r="G40" s="25" t="inlineStr">
        <is>
          <t>§5 taxe foncière (valeur locative des MH)</t>
        </is>
      </c>
      <c r="H40" s="25" t="inlineStr">
        <is>
          <t>moyenne</t>
        </is>
      </c>
    </row>
    <row r="41">
      <c r="A41" s="25" t="inlineStr">
        <is>
          <t>R1-32</t>
        </is>
      </c>
      <c r="B41" s="8" t="inlineStr">
        <is>
          <t>French-Property.com — annonce n° 249493 (Prestige Property Group), château « historic monument » à Erny-Saint-Julien (62), 512 m² habitables, 6,56 ha, charges annuelles déclarées (annonce retirée, date non indiquée)</t>
        </is>
      </c>
      <c r="C41" s="25" t="inlineStr">
        <is>
          <t>https://french-property.com/sale-property/127-249493</t>
        </is>
      </c>
      <c r="D41" s="25" t="inlineStr">
        <is>
          <t>annonce immobilière (déclaratif du vendeur)</t>
        </is>
      </c>
      <c r="E41" s="25" t="inlineStr">
        <is>
          <t>2026-10-14</t>
        </is>
      </c>
      <c r="F41" s="25" t="inlineStr">
        <is>
          <t>page_lue</t>
        </is>
      </c>
      <c r="G41" s="25" t="inlineStr">
        <is>
          <t>§4, §5, §9 exemple de charges réelles d'un petit château</t>
        </is>
      </c>
      <c r="H41" s="25" t="inlineStr">
        <is>
          <t>faible</t>
        </is>
      </c>
    </row>
    <row r="42">
      <c r="A42" s="25" t="inlineStr">
        <is>
          <t>R1-33</t>
        </is>
      </c>
      <c r="B42" s="8" t="inlineStr">
        <is>
          <t>Assemblée nationale — Avis n° 2043, tome III (commission des affaires culturelles, rapporteur J. Patrier-Leitus) sur le PLF 2026, mission Culture, programme 175 « Patrimoines » (enregistré le 29 octobre 2025)</t>
        </is>
      </c>
      <c r="C42" s="25" t="inlineStr">
        <is>
          <t>https://www.assemblee-nationale.fr/dyn/opendata/AVISANR5L17B2043-tIII.html</t>
        </is>
      </c>
      <c r="D42" s="25" t="inlineStr">
        <is>
          <t>rapport parlementaire officiel</t>
        </is>
      </c>
      <c r="E42" s="25" t="inlineStr">
        <is>
          <t>2026-10-14</t>
        </is>
      </c>
      <c r="F42" s="25" t="inlineStr">
        <is>
          <t>page_lue</t>
        </is>
      </c>
      <c r="G42" s="25" t="inlineStr">
        <is>
          <t>§6 programme 175 2026, FIP, MH en péril</t>
        </is>
      </c>
      <c r="H42" s="25" t="inlineStr">
        <is>
          <t>haute</t>
        </is>
      </c>
    </row>
    <row r="43">
      <c r="A43" s="25" t="inlineStr">
        <is>
          <t>R1-34</t>
        </is>
      </c>
      <c r="B43" s="8" t="inlineStr">
        <is>
          <t>Sénat — « L'essentiel sur… PLF 2026 – L'avis de la commission sur les crédits du programme Patrimoines » (avis a25-144 tome 21, 3 décembre 2025, 10 p.)</t>
        </is>
      </c>
      <c r="C43" s="25" t="inlineStr">
        <is>
          <t>https://www.senat.fr/rap/a25-144-21/a25-144-21-syn.pdf</t>
        </is>
      </c>
      <c r="D43" s="25" t="inlineStr">
        <is>
          <t>rapport parlementaire officiel</t>
        </is>
      </c>
      <c r="E43" s="25" t="inlineStr">
        <is>
          <t>2026-10-14</t>
        </is>
      </c>
      <c r="F43" s="25" t="inlineStr">
        <is>
          <t>page_lue</t>
        </is>
      </c>
      <c r="G43" s="25" t="inlineStr">
        <is>
          <t>§6 taux moyens DRAC 2025, programme 175 2026, Loto du patrimoine, état sanitaire des MH</t>
        </is>
      </c>
      <c r="H43" s="25" t="inlineStr">
        <is>
          <t>haute</t>
        </is>
      </c>
    </row>
    <row r="44">
      <c r="A44" s="25" t="inlineStr">
        <is>
          <t>R1-35</t>
        </is>
      </c>
      <c r="B44" s="8" t="inlineStr">
        <is>
          <t>Ministère de la Culture — « Bilans des sinistres dans les monuments historiques » (chiffres 2025 et 2013-2025 vus seulement dans le résultat de recherche, page non ouverte : URL d'origine en 404)</t>
        </is>
      </c>
      <c r="C44" s="25" t="inlineStr">
        <is>
          <t>https://www.culture.gouv.fr/switchToLanguage/419505/fre-FR</t>
        </is>
      </c>
      <c r="D44" s="25" t="inlineStr">
        <is>
          <t>site officiel (ministère)</t>
        </is>
      </c>
      <c r="E44" s="25" t="inlineStr">
        <is>
          <t>2026-10-14</t>
        </is>
      </c>
      <c r="F44" s="25" t="inlineStr">
        <is>
          <t>extrait</t>
        </is>
      </c>
      <c r="G44" s="25" t="inlineStr">
        <is>
          <t>§7 sinistres</t>
        </is>
      </c>
      <c r="H44" s="25" t="inlineStr">
        <is>
          <t>haute</t>
        </is>
      </c>
    </row>
    <row r="45">
      <c r="A45" s="25" t="inlineStr">
        <is>
          <t>R1-36</t>
        </is>
      </c>
      <c r="B45" s="8" t="inlineStr">
        <is>
          <t>Service-public.gouv.fr — fiche F447 « Assainissement des eaux usées domestiques » (vérifiée le 12 décembre 2025)</t>
        </is>
      </c>
      <c r="C45" s="25" t="inlineStr">
        <is>
          <t>https://www.service-public.gouv.fr/particuliers/vosdroits/F447</t>
        </is>
      </c>
      <c r="D45" s="25" t="inlineStr">
        <is>
          <t>site officiel (DILA)</t>
        </is>
      </c>
      <c r="E45" s="25" t="inlineStr">
        <is>
          <t>2026-10-14</t>
        </is>
      </c>
      <c r="F45" s="25" t="inlineStr">
        <is>
          <t>page_lue</t>
        </is>
      </c>
      <c r="G45" s="25" t="inlineStr">
        <is>
          <t>§8 postes techniques (SPANC)</t>
        </is>
      </c>
      <c r="H45" s="25" t="inlineStr">
        <is>
          <t>haute</t>
        </is>
      </c>
    </row>
    <row r="46">
      <c r="A46" s="25" t="inlineStr">
        <is>
          <t>R1-37</t>
        </is>
      </c>
      <c r="B46" s="8" t="inlineStr">
        <is>
          <t>Banque centrale européenne — taux de référence EUR/GBP (dernier taux 0,84385 au 14 octobre 2026)</t>
        </is>
      </c>
      <c r="C46" s="25" t="inlineStr">
        <is>
          <t>https://www.ecb.europa.eu/stats/policy_and_exchange_rates/euro_reference_exchange_rates/html/eurofxref-graph-gbp.en.html</t>
        </is>
      </c>
      <c r="D46" s="25" t="inlineStr">
        <is>
          <t>statistique officielle (BCE)</t>
        </is>
      </c>
      <c r="E46" s="25" t="inlineStr">
        <is>
          <t>2026-10-14</t>
        </is>
      </c>
      <c r="F46" s="25" t="inlineStr">
        <is>
          <t>page_lue</t>
        </is>
      </c>
      <c r="G46" s="25" t="inlineStr">
        <is>
          <t>§1.2 et §9 conversion £/€</t>
        </is>
      </c>
      <c r="H46" s="25" t="inlineStr">
        <is>
          <t>haute</t>
        </is>
      </c>
    </row>
    <row r="47">
      <c r="A47" s="25" t="inlineStr">
        <is>
          <t>R1-38</t>
        </is>
      </c>
      <c r="B47" s="8" t="inlineStr">
        <is>
          <t>Service-public.gouv.fr — fiche F16096 « Diagnostic immobilier : diagnostic de performance énergétique (DPE) » (vérifiée le 1er janvier 2026)</t>
        </is>
      </c>
      <c r="C47" s="25" t="inlineStr">
        <is>
          <t>https://www.service-public.gouv.fr/particuliers/vosdroits/F16096</t>
        </is>
      </c>
      <c r="D47" s="25" t="inlineStr">
        <is>
          <t>site officiel (DILA)</t>
        </is>
      </c>
      <c r="E47" s="25" t="inlineStr">
        <is>
          <t>2026-10-14</t>
        </is>
      </c>
      <c r="F47" s="25" t="inlineStr">
        <is>
          <t>page_lue</t>
        </is>
      </c>
      <c r="G47" s="25" t="inlineStr">
        <is>
          <t>§3 énergie (MH hors champ du DPE)</t>
        </is>
      </c>
      <c r="H47" s="25" t="inlineStr">
        <is>
          <t>haute</t>
        </is>
      </c>
    </row>
    <row r="48">
      <c r="A48" s="25" t="inlineStr">
        <is>
          <t>R1-39</t>
        </is>
      </c>
      <c r="B48" s="8" t="inlineStr">
        <is>
          <t>Quelle Énergie — « Isolation de la toiture : la toiture en ardoise » (prix indicatif de l'ardoise posée) — vu seulement dans un résultat de recherche</t>
        </is>
      </c>
      <c r="C48" s="25" t="inlineStr">
        <is>
          <t>https://www.quelleenergie.fr/economies-energie/isolation-toiture/ardoise</t>
        </is>
      </c>
      <c r="D48" s="25" t="inlineStr">
        <is>
          <t>site commercial grand public</t>
        </is>
      </c>
      <c r="E48" s="25" t="inlineStr">
        <is>
          <t>2026-10-14</t>
        </is>
      </c>
      <c r="F48" s="25" t="inlineStr">
        <is>
          <t>extrait</t>
        </is>
      </c>
      <c r="G48" s="25" t="inlineStr">
        <is>
          <t>§2.3 prix grand public (non retenu)</t>
        </is>
      </c>
      <c r="H48" s="25" t="inlineStr">
        <is>
          <t>faible</t>
        </is>
      </c>
    </row>
    <row r="49">
      <c r="A49" s="25" t="inlineStr">
        <is>
          <t>R1-40</t>
        </is>
      </c>
      <c r="B49" s="8" t="inlineStr">
        <is>
          <t>Ootravaux — « Prix réparation toiture ardoise » — vu seulement dans un résultat de recherche</t>
        </is>
      </c>
      <c r="C49" s="25" t="inlineStr">
        <is>
          <t>https://www.ootravaux.fr/construction-renovation/toiture/couverture/prix-reparation-toiture-ardoise.html</t>
        </is>
      </c>
      <c r="D49" s="25" t="inlineStr">
        <is>
          <t>site commercial grand public</t>
        </is>
      </c>
      <c r="E49" s="25" t="inlineStr">
        <is>
          <t>2026-10-14</t>
        </is>
      </c>
      <c r="F49" s="25" t="inlineStr">
        <is>
          <t>extrait</t>
        </is>
      </c>
      <c r="G49" s="25" t="inlineStr">
        <is>
          <t>§2.3 prix grand public (non retenu)</t>
        </is>
      </c>
      <c r="H49" s="25" t="inlineStr">
        <is>
          <t>faible</t>
        </is>
      </c>
    </row>
    <row r="50">
      <c r="A50" s="25" t="inlineStr">
        <is>
          <t>R1-41</t>
        </is>
      </c>
      <c r="B50" s="8" t="inlineStr">
        <is>
          <t>Ootravaux — « Prix toiture m2 » — vu seulement dans un résultat de recherche</t>
        </is>
      </c>
      <c r="C50" s="25" t="inlineStr">
        <is>
          <t>https://www.ootravaux.fr/construction-renovation/toiture/couverture/travaux-toiture/prix-toiture-m2.html</t>
        </is>
      </c>
      <c r="D50" s="25" t="inlineStr">
        <is>
          <t>site commercial grand public</t>
        </is>
      </c>
      <c r="E50" s="25" t="inlineStr">
        <is>
          <t>2026-10-14</t>
        </is>
      </c>
      <c r="F50" s="25" t="inlineStr">
        <is>
          <t>extrait</t>
        </is>
      </c>
      <c r="G50" s="25" t="inlineStr">
        <is>
          <t>§2.3 prix grand public (non retenu)</t>
        </is>
      </c>
      <c r="H50" s="25" t="inlineStr">
        <is>
          <t>faible</t>
        </is>
      </c>
    </row>
    <row r="51">
      <c r="A51" s="25" t="inlineStr">
        <is>
          <t>R1-42</t>
        </is>
      </c>
      <c r="B51" s="8" t="inlineStr">
        <is>
          <t>TotalEnergies — « Quelle est la durée de vie d'une chaudière ? » — vu seulement dans un résultat de recherche</t>
        </is>
      </c>
      <c r="C51" s="25" t="inlineStr">
        <is>
          <t>https://www.totalenergies.fr/particuliers/parlons-energie/dossiers-energie/chauffage-et-climatisation/quelle-est-la-duree-de-vie-d-une-chaudiere</t>
        </is>
      </c>
      <c r="D51" s="25" t="inlineStr">
        <is>
          <t>site d'un fournisseur d'énergie</t>
        </is>
      </c>
      <c r="E51" s="25" t="inlineStr">
        <is>
          <t>2026-10-14</t>
        </is>
      </c>
      <c r="F51" s="25" t="inlineStr">
        <is>
          <t>extrait</t>
        </is>
      </c>
      <c r="G51" s="25" t="inlineStr">
        <is>
          <t>§2.5 durées de vie</t>
        </is>
      </c>
      <c r="H51" s="25" t="inlineStr">
        <is>
          <t>faible</t>
        </is>
      </c>
    </row>
    <row r="52">
      <c r="A52" s="25" t="inlineStr">
        <is>
          <t>R1-43</t>
        </is>
      </c>
      <c r="B52" s="8" t="inlineStr">
        <is>
          <t>MoneyPark / ImmoWorld (Helvetia) — « Tableau des durées de vie » (PDF, ouverture en erreur 504, chiffres vus seulement dans un résultat de recherche)</t>
        </is>
      </c>
      <c r="C52" s="25" t="inlineStr">
        <is>
          <t>https://www.moneypark.ch/content/dam/os/ch/web/documents/immoworld/tableau-des-durees-de-vie.pdf</t>
        </is>
      </c>
      <c r="D52" s="25" t="inlineStr">
        <is>
          <t>document commercial (Suisse)</t>
        </is>
      </c>
      <c r="E52" s="25" t="inlineStr">
        <is>
          <t>2026-10-14</t>
        </is>
      </c>
      <c r="F52" s="25" t="inlineStr">
        <is>
          <t>extrait</t>
        </is>
      </c>
      <c r="G52" s="25" t="inlineStr">
        <is>
          <t>§2.5 durées de vie</t>
        </is>
      </c>
      <c r="H52" s="25" t="inlineStr">
        <is>
          <t>faible</t>
        </is>
      </c>
    </row>
    <row r="53">
      <c r="A53" s="25" t="inlineStr">
        <is>
          <t>R2-01</t>
        </is>
      </c>
      <c r="B53" s="8" t="inlineStr">
        <is>
          <t>Smic : montant (Service-public.gouv.fr, fiche F2300, vérifiée le 01/06/2026)</t>
        </is>
      </c>
      <c r="C53" s="25" t="inlineStr">
        <is>
          <t>https://www.service-public.gouv.fr/particuliers/vosdroits/F2300</t>
        </is>
      </c>
      <c r="D53" s="25" t="inlineStr">
        <is>
          <t>site officiel (DILA)</t>
        </is>
      </c>
      <c r="E53" s="25" t="inlineStr">
        <is>
          <t>2026-10-14</t>
        </is>
      </c>
      <c r="F53" s="25" t="inlineStr">
        <is>
          <t>page_lue</t>
        </is>
      </c>
      <c r="G53" s="25" t="inlineStr">
        <is>
          <t>§1.1</t>
        </is>
      </c>
      <c r="H53" s="25" t="inlineStr">
        <is>
          <t>haute</t>
        </is>
      </c>
    </row>
    <row r="54">
      <c r="A54" s="25" t="inlineStr">
        <is>
          <t>R2-02</t>
        </is>
      </c>
      <c r="B54" s="8" t="inlineStr">
        <is>
          <t>Réduction générale dégressive unique (RGDU) des cotisations patronales (entreprendre.service-public.gouv.fr, fiche F24542, vérifiée le 15/06/2026)</t>
        </is>
      </c>
      <c r="C54" s="25" t="inlineStr">
        <is>
          <t>https://entreprendre.service-public.gouv.fr/vosdroits/F24542</t>
        </is>
      </c>
      <c r="D54" s="25" t="inlineStr">
        <is>
          <t>site officiel (DILA)</t>
        </is>
      </c>
      <c r="E54" s="25" t="inlineStr">
        <is>
          <t>2026-10-14</t>
        </is>
      </c>
      <c r="F54" s="25" t="inlineStr">
        <is>
          <t>page_lue</t>
        </is>
      </c>
      <c r="G54" s="25" t="inlineStr">
        <is>
          <t>§1.1 §1.2 §1.3</t>
        </is>
      </c>
      <c r="H54" s="25" t="inlineStr">
        <is>
          <t>haute</t>
        </is>
      </c>
    </row>
    <row r="55">
      <c r="A55" s="25" t="inlineStr">
        <is>
          <t>R2-03</t>
        </is>
      </c>
      <c r="B55" s="8" t="inlineStr">
        <is>
          <t>Particuliers employeurs : les grilles de salaires (fiche-paie.net, avenant n°10 du 5 février 2026, article mis à jour le 14/08/2026)</t>
        </is>
      </c>
      <c r="C55" s="25" t="inlineStr">
        <is>
          <t>https://www.fiche-paie.net/page/particuliers-employeurs-les-grilles-de-salaires</t>
        </is>
      </c>
      <c r="D55" s="25" t="inlineStr">
        <is>
          <t>site spécialisé paie (secondaire)</t>
        </is>
      </c>
      <c r="E55" s="25" t="inlineStr">
        <is>
          <t>2026-10-14</t>
        </is>
      </c>
      <c r="F55" s="25" t="inlineStr">
        <is>
          <t>page_lue</t>
        </is>
      </c>
      <c r="G55" s="25" t="inlineStr">
        <is>
          <t>§1.4 §2.2</t>
        </is>
      </c>
      <c r="H55" s="25" t="inlineStr">
        <is>
          <t>moyenne</t>
        </is>
      </c>
    </row>
    <row r="56">
      <c r="A56" s="25" t="inlineStr">
        <is>
          <t>R2-04</t>
        </is>
      </c>
      <c r="B56" s="8" t="inlineStr">
        <is>
          <t>Employés de maison : ce que change la hausse du Smic en 2026 (L'Écho du mardi, M. Hurlin, 16/01/2026)</t>
        </is>
      </c>
      <c r="C56" s="25" t="inlineStr">
        <is>
          <t>https://www.echodumardi.com/juridique/employes-de-maison-ce-que-change-la-hausse-du-smic-en-2026/</t>
        </is>
      </c>
      <c r="D56" s="25" t="inlineStr">
        <is>
          <t>presse régionale</t>
        </is>
      </c>
      <c r="E56" s="25" t="inlineStr">
        <is>
          <t>2026-10-14</t>
        </is>
      </c>
      <c r="F56" s="25" t="inlineStr">
        <is>
          <t>page_lue</t>
        </is>
      </c>
      <c r="G56" s="25" t="inlineStr">
        <is>
          <t>§1.1 §1.4</t>
        </is>
      </c>
      <c r="H56" s="25" t="inlineStr">
        <is>
          <t>moyenne</t>
        </is>
      </c>
    </row>
    <row r="57">
      <c r="A57" s="25" t="inlineStr">
        <is>
          <t>R2-05</t>
        </is>
      </c>
      <c r="B57" s="8" t="inlineStr">
        <is>
          <t>Grille des salaires du personnel des centres équestres en 2026 (Juristique, avenant n°6 du 20/01/2026, IDCC 7026)</t>
        </is>
      </c>
      <c r="C57" s="25" t="inlineStr">
        <is>
          <t>https://www.juristique.org/conventionnel/salaires-centres-equestres-2026</t>
        </is>
      </c>
      <c r="D57" s="25" t="inlineStr">
        <is>
          <t>site juridique (secondaire)</t>
        </is>
      </c>
      <c r="E57" s="25" t="inlineStr">
        <is>
          <t>2026-10-14</t>
        </is>
      </c>
      <c r="F57" s="25" t="inlineStr">
        <is>
          <t>page_lue</t>
        </is>
      </c>
      <c r="G57" s="25" t="inlineStr">
        <is>
          <t>§1.4 §2.2</t>
        </is>
      </c>
      <c r="H57" s="25" t="inlineStr">
        <is>
          <t>moyenne</t>
        </is>
      </c>
    </row>
    <row r="58">
      <c r="A58" s="25" t="inlineStr">
        <is>
          <t>R2-06</t>
        </is>
      </c>
      <c r="B58" s="8" t="inlineStr">
        <is>
          <t>Résultat de recherche : CCN des personnels des activités hippiques du 16/11/2023 (IDCC 7026) regroupant les CCN 7012, 7013 et 7014 (Legisocial, Juritravail)</t>
        </is>
      </c>
      <c r="C58" s="25" t="inlineStr">
        <is>
          <t>https://www.legisocial.fr/conventions-collectives-nationales/7026-personnel-des-activites-hippiques/</t>
        </is>
      </c>
      <c r="D58" s="25" t="inlineStr">
        <is>
          <t>site juridique (secondaire)</t>
        </is>
      </c>
      <c r="E58" s="25" t="inlineStr">
        <is>
          <t>2026-10-14</t>
        </is>
      </c>
      <c r="F58" s="25" t="inlineStr">
        <is>
          <t>extrait</t>
        </is>
      </c>
      <c r="G58" s="25" t="inlineStr">
        <is>
          <t>§1.4</t>
        </is>
      </c>
      <c r="H58" s="25" t="inlineStr">
        <is>
          <t>moyenne</t>
        </is>
      </c>
    </row>
    <row r="59">
      <c r="A59" s="25" t="inlineStr">
        <is>
          <t>R2-07</t>
        </is>
      </c>
      <c r="B59" s="8" t="inlineStr">
        <is>
          <t>Avenant n°46 du 17 septembre 2025 à la CCN des entreprises du paysage du 10 octobre 2008 (IDCC 7018, NOR AGRS2597131M), copie PDF hébergée par Tripalio</t>
        </is>
      </c>
      <c r="C59" s="25" t="inlineStr">
        <is>
          <t>https://presse.tripalio.fr/wp-content/uploads/2025/11/IDCC-7018-17-09-2025.pdf</t>
        </is>
      </c>
      <c r="D59" s="25" t="inlineStr">
        <is>
          <t>texte conventionnel (copie)</t>
        </is>
      </c>
      <c r="E59" s="25" t="inlineStr">
        <is>
          <t>2026-10-14</t>
        </is>
      </c>
      <c r="F59" s="25" t="inlineStr">
        <is>
          <t>page_lue</t>
        </is>
      </c>
      <c r="G59" s="25" t="inlineStr">
        <is>
          <t>§1.4 §2.2</t>
        </is>
      </c>
      <c r="H59" s="25" t="inlineStr">
        <is>
          <t>haute</t>
        </is>
      </c>
    </row>
    <row r="60">
      <c r="A60" s="25" t="inlineStr">
        <is>
          <t>R2-08</t>
        </is>
      </c>
      <c r="B60" s="8" t="inlineStr">
        <is>
          <t>Résultat de recherche : extension de l'avenant n°46 paysage par arrêté du 11/12/2025 publié au JO du 26/12/2025 (attribution incertaine parmi les résultats salerya.fr, travail-industrie.com, fiche-paie.net : URL = résultat le plus proche, non ouvert)</t>
        </is>
      </c>
      <c r="C60" s="25" t="inlineStr">
        <is>
          <t>https://travail-industrie.com/outils/conventions-collectives/entreprises-paysage-grille-salaires-deplacements-droits-idcc-7018</t>
        </is>
      </c>
      <c r="D60" s="25" t="inlineStr">
        <is>
          <t>site spécialisé (secondaire)</t>
        </is>
      </c>
      <c r="E60" s="25" t="inlineStr">
        <is>
          <t>2026-10-14</t>
        </is>
      </c>
      <c r="F60" s="25" t="inlineStr">
        <is>
          <t>extrait</t>
        </is>
      </c>
      <c r="G60" s="25" t="inlineStr">
        <is>
          <t>§1.4</t>
        </is>
      </c>
      <c r="H60" s="25" t="inlineStr">
        <is>
          <t>moyenne</t>
        </is>
      </c>
    </row>
    <row r="61">
      <c r="A61" s="25" t="inlineStr">
        <is>
          <t>R2-09</t>
        </is>
      </c>
      <c r="B61" s="8" t="inlineStr">
        <is>
          <t>Salaires applicables dans les CUMA à compter du 1er mai 2026 (FD CUMA 53, 07/04/2026, d'après la CCN Production agricole et CUMA, avenant n°10)</t>
        </is>
      </c>
      <c r="C61" s="25" t="inlineStr">
        <is>
          <t>https://mayenne.cuma.fr/app/uploads/sites/52/2026/01/02-grille-smc-01-05-2026.pdf</t>
        </is>
      </c>
      <c r="D61" s="25" t="inlineStr">
        <is>
          <t>organisation professionnelle agricole</t>
        </is>
      </c>
      <c r="E61" s="25" t="inlineStr">
        <is>
          <t>2026-10-14</t>
        </is>
      </c>
      <c r="F61" s="25" t="inlineStr">
        <is>
          <t>page_lue</t>
        </is>
      </c>
      <c r="G61" s="25" t="inlineStr">
        <is>
          <t>§1.4 §2.2</t>
        </is>
      </c>
      <c r="H61" s="25" t="inlineStr">
        <is>
          <t>haute</t>
        </is>
      </c>
    </row>
    <row r="62">
      <c r="A62" s="25" t="inlineStr">
        <is>
          <t>R2-10</t>
        </is>
      </c>
      <c r="B62" s="8" t="inlineStr">
        <is>
          <t>Résultat de recherche : avenant n°11 du 2 juillet 2026 production agricole (+1,96 % en moyenne, non étendu) selon Juristique</t>
        </is>
      </c>
      <c r="C62" s="25" t="inlineStr">
        <is>
          <t>https://www.juristique.org/conventionnel/salaires-production-agricole-cuma-2026</t>
        </is>
      </c>
      <c r="D62" s="25" t="inlineStr">
        <is>
          <t>site juridique (secondaire)</t>
        </is>
      </c>
      <c r="E62" s="25" t="inlineStr">
        <is>
          <t>2026-10-14</t>
        </is>
      </c>
      <c r="F62" s="25" t="inlineStr">
        <is>
          <t>extrait</t>
        </is>
      </c>
      <c r="G62" s="25" t="inlineStr">
        <is>
          <t>§1.4</t>
        </is>
      </c>
      <c r="H62" s="25" t="inlineStr">
        <is>
          <t>faible</t>
        </is>
      </c>
    </row>
    <row r="63">
      <c r="A63" s="25" t="inlineStr">
        <is>
          <t>R2-11</t>
        </is>
      </c>
      <c r="B63" s="8" t="inlineStr">
        <is>
          <t>Simulateur officiel URSSAF mon-entreprise, API publique /api/v1/evaluate (calcul du coût employeur, règles au 01/07/2026, 35 requêtes POST sans compte ni donnée personnelle, scripts conservés dans le scratchpad de session)</t>
        </is>
      </c>
      <c r="C63" s="25" t="inlineStr">
        <is>
          <t>https://mon-entreprise.urssaf.fr/api/v1/evaluate</t>
        </is>
      </c>
      <c r="D63" s="25" t="inlineStr">
        <is>
          <t>outil officiel (URSSAF), calcul</t>
        </is>
      </c>
      <c r="E63" s="25" t="inlineStr">
        <is>
          <t>2026-10-14</t>
        </is>
      </c>
      <c r="F63" s="25" t="inlineStr">
        <is>
          <t>page_lue</t>
        </is>
      </c>
      <c r="G63" s="25" t="inlineStr">
        <is>
          <t>§1.2 §1.3 §9</t>
        </is>
      </c>
      <c r="H63" s="25" t="inlineStr">
        <is>
          <t>haute</t>
        </is>
      </c>
    </row>
    <row r="64">
      <c r="A64" s="25" t="inlineStr">
        <is>
          <t>R2-12</t>
        </is>
      </c>
      <c r="B64" s="8" t="inlineStr">
        <is>
          <t>Emploi à domicile : l'employeur peut-il être exonéré des cotisations sociales ? (Service-public.gouv.fr F12384, vérifiée le 01/06/2026)</t>
        </is>
      </c>
      <c r="C64" s="25" t="inlineStr">
        <is>
          <t>https://www.service-public.gouv.fr/particuliers/vosdroits/F12384</t>
        </is>
      </c>
      <c r="D64" s="25" t="inlineStr">
        <is>
          <t>site officiel (DILA)</t>
        </is>
      </c>
      <c r="E64" s="25" t="inlineStr">
        <is>
          <t>2026-10-14</t>
        </is>
      </c>
      <c r="F64" s="25" t="inlineStr">
        <is>
          <t>page_lue</t>
        </is>
      </c>
      <c r="G64" s="25" t="inlineStr">
        <is>
          <t>§1.5 §9.1</t>
        </is>
      </c>
      <c r="H64" s="25" t="inlineStr">
        <is>
          <t>haute</t>
        </is>
      </c>
    </row>
    <row r="65">
      <c r="A65" s="25" t="inlineStr">
        <is>
          <t>R2-13</t>
        </is>
      </c>
      <c r="B65" s="8" t="inlineStr">
        <is>
          <t>Impôt sur le revenu - Crédit d'impôt pour l'emploi d'un salarié à domicile (Service-public.gouv.fr F12, vérifiée le 15/04/2026)</t>
        </is>
      </c>
      <c r="C65" s="25" t="inlineStr">
        <is>
          <t>https://www.service-public.gouv.fr/particuliers/vosdroits/F12</t>
        </is>
      </c>
      <c r="D65" s="25" t="inlineStr">
        <is>
          <t>site officiel (DILA)</t>
        </is>
      </c>
      <c r="E65" s="25" t="inlineStr">
        <is>
          <t>2026-10-14</t>
        </is>
      </c>
      <c r="F65" s="25" t="inlineStr">
        <is>
          <t>page_lue</t>
        </is>
      </c>
      <c r="G65" s="25" t="inlineStr">
        <is>
          <t>§1.5</t>
        </is>
      </c>
      <c r="H65" s="25" t="inlineStr">
        <is>
          <t>haute</t>
        </is>
      </c>
    </row>
    <row r="66">
      <c r="A66" s="25" t="inlineStr">
        <is>
          <t>R2-14</t>
        </is>
      </c>
      <c r="B66" s="8" t="inlineStr">
        <is>
          <t>Rapport d'activité équi-ressources 2022 (IFCE / équi-ressources, PDF de mars 2023, texte extrait avec pdftotext)</t>
        </is>
      </c>
      <c r="C66" s="25" t="inlineStr">
        <is>
          <t>https://agrorientation.com/uploads/files/Filieres/cheval/Rapport_activite_equiressources_2022.pdf</t>
        </is>
      </c>
      <c r="D66" s="25" t="inlineStr">
        <is>
          <t>rapport d'organisme public (IFCE)</t>
        </is>
      </c>
      <c r="E66" s="25" t="inlineStr">
        <is>
          <t>2026-10-14</t>
        </is>
      </c>
      <c r="F66" s="25" t="inlineStr">
        <is>
          <t>page_lue</t>
        </is>
      </c>
      <c r="G66" s="25" t="inlineStr">
        <is>
          <t>§2.1 §10</t>
        </is>
      </c>
      <c r="H66" s="25" t="inlineStr">
        <is>
          <t>haute</t>
        </is>
      </c>
    </row>
    <row r="67">
      <c r="A67" s="25" t="inlineStr">
        <is>
          <t>R2-15</t>
        </is>
      </c>
      <c r="B67" s="8" t="inlineStr">
        <is>
          <t>Dans le secret des jardins de Villandry (France.fr, Atout France, 17/01/2024)</t>
        </is>
      </c>
      <c r="C67" s="25" t="inlineStr">
        <is>
          <t>https://www.france.fr/fr/article/l'importance-et-la-particularite-des-jardins-dans-le-val-de-loire/</t>
        </is>
      </c>
      <c r="D67" s="25" t="inlineStr">
        <is>
          <t>site institutionnel tourisme (Atout France)</t>
        </is>
      </c>
      <c r="E67" s="25" t="inlineStr">
        <is>
          <t>2026-10-14</t>
        </is>
      </c>
      <c r="F67" s="25" t="inlineStr">
        <is>
          <t>page_lue</t>
        </is>
      </c>
      <c r="G67" s="25" t="inlineStr">
        <is>
          <t>§3.1 §9</t>
        </is>
      </c>
      <c r="H67" s="25" t="inlineStr">
        <is>
          <t>moyenne</t>
        </is>
      </c>
    </row>
    <row r="68">
      <c r="A68" s="25" t="inlineStr">
        <is>
          <t>R2-16</t>
        </is>
      </c>
      <c r="B68" s="8" t="inlineStr">
        <is>
          <t>La gestion différenciée : méthodologie de mise en œuvre, fiche de synthèse (Plante &amp; Cité, B. Chassaing, mai 2014, mise à jour 2021) - aucun chiffre de coût</t>
        </is>
      </c>
      <c r="C68" s="25" t="inlineStr">
        <is>
          <t>https://plante-et-cite.fr/files/ressource/file:1807</t>
        </is>
      </c>
      <c r="D68" s="25" t="inlineStr">
        <is>
          <t>organisme technique national (Plante &amp; Cité)</t>
        </is>
      </c>
      <c r="E68" s="25" t="inlineStr">
        <is>
          <t>2026-10-14</t>
        </is>
      </c>
      <c r="F68" s="25" t="inlineStr">
        <is>
          <t>page_lue</t>
        </is>
      </c>
      <c r="G68" s="25" t="inlineStr">
        <is>
          <t>§3.2</t>
        </is>
      </c>
      <c r="H68" s="25" t="inlineStr">
        <is>
          <t>haute</t>
        </is>
      </c>
    </row>
    <row r="69">
      <c r="A69" s="25" t="inlineStr">
        <is>
          <t>R2-17</t>
        </is>
      </c>
      <c r="B69" s="8" t="inlineStr">
        <is>
          <t>IFCE Observatoire économique et social du cheval, Fiche n°1 « Cheval d'extérieur hébergé au pré au domicile du particulier » (données 2011-2012, anciennes, PDF texte extrait)</t>
        </is>
      </c>
      <c r="C69" s="25" t="inlineStr">
        <is>
          <t>https://www.ifce.fr/wp-content/uploads/2015/06/OESC_Entretien_FICHE_1.pdf</t>
        </is>
      </c>
      <c r="D69" s="25" t="inlineStr">
        <is>
          <t>organisme public (IFCE)</t>
        </is>
      </c>
      <c r="E69" s="25" t="inlineStr">
        <is>
          <t>2026-10-14</t>
        </is>
      </c>
      <c r="F69" s="25" t="inlineStr">
        <is>
          <t>page_lue</t>
        </is>
      </c>
      <c r="G69" s="25" t="inlineStr">
        <is>
          <t>§5.3 §6.1 §8.1</t>
        </is>
      </c>
      <c r="H69" s="25" t="inlineStr">
        <is>
          <t>haute</t>
        </is>
      </c>
    </row>
    <row r="70">
      <c r="A70" s="25" t="inlineStr">
        <is>
          <t>R2-18</t>
        </is>
      </c>
      <c r="B70" s="8" t="inlineStr">
        <is>
          <t>IFCE Observatoire économique et social du cheval, Fiche n°4 « Cheval de compétition amateur hébergé en pension box » (données 2011-2012, anciennes, PDF texte extrait)</t>
        </is>
      </c>
      <c r="C70" s="25" t="inlineStr">
        <is>
          <t>https://www.ifce.fr/wp-content/uploads/2015/06/OESC-Entretien-FICHE_4.pdf</t>
        </is>
      </c>
      <c r="D70" s="25" t="inlineStr">
        <is>
          <t>organisme public (IFCE)</t>
        </is>
      </c>
      <c r="E70" s="25" t="inlineStr">
        <is>
          <t>2026-10-14</t>
        </is>
      </c>
      <c r="F70" s="25" t="inlineStr">
        <is>
          <t>page_lue</t>
        </is>
      </c>
      <c r="G70" s="25" t="inlineStr">
        <is>
          <t>§4.2 §6.1 §9.5</t>
        </is>
      </c>
      <c r="H70" s="25" t="inlineStr">
        <is>
          <t>haute</t>
        </is>
      </c>
    </row>
    <row r="71">
      <c r="A71" s="25" t="inlineStr">
        <is>
          <t>R2-19</t>
        </is>
      </c>
      <c r="B71" s="8" t="inlineStr">
        <is>
          <t>Résultat de recherche : fiche de la préfecture de Maine-et-Loire « obligation à tout détenteur d'équidés » (coût annuel d'un cheval au pré 650 à 1 300 €)</t>
        </is>
      </c>
      <c r="C71" s="25" t="inlineStr">
        <is>
          <t>https://www.maine-et-loire.gouv.fr/contenu/telechargement/13907/95734/file/obligation_a_tout_detenteur_d_equides.pdf</t>
        </is>
      </c>
      <c r="D71" s="25" t="inlineStr">
        <is>
          <t>site officiel (préfecture)</t>
        </is>
      </c>
      <c r="E71" s="25" t="inlineStr">
        <is>
          <t>2026-10-14</t>
        </is>
      </c>
      <c r="F71" s="25" t="inlineStr">
        <is>
          <t>extrait</t>
        </is>
      </c>
      <c r="G71" s="25" t="inlineStr">
        <is>
          <t>§6.1</t>
        </is>
      </c>
      <c r="H71" s="25" t="inlineStr">
        <is>
          <t>moyenne</t>
        </is>
      </c>
    </row>
    <row r="72">
      <c r="A72" s="25" t="inlineStr">
        <is>
          <t>R2-20</t>
        </is>
      </c>
      <c r="B72" s="8" t="inlineStr">
        <is>
          <t>Arrêté préfectoral de l'Aveyron n°12-2025-09-29-00003 du 29/09/2025 constatant l'indice des fermages 2025 et les minima et maxima 2025-2026 (copie PDF hébergée par la commune de Laguiole)</t>
        </is>
      </c>
      <c r="C72" s="25" t="inlineStr">
        <is>
          <t>https://www.laguiole12.fr/uploads/sites/81/2025/11/arrete-prefectoral-indice-fermages-2025.pdf</t>
        </is>
      </c>
      <c r="D72" s="25" t="inlineStr">
        <is>
          <t>texte officiel (préfecture)</t>
        </is>
      </c>
      <c r="E72" s="25" t="inlineStr">
        <is>
          <t>2026-10-14</t>
        </is>
      </c>
      <c r="F72" s="25" t="inlineStr">
        <is>
          <t>page_lue</t>
        </is>
      </c>
      <c r="G72" s="25" t="inlineStr">
        <is>
          <t>§5.1</t>
        </is>
      </c>
      <c r="H72" s="25" t="inlineStr">
        <is>
          <t>haute</t>
        </is>
      </c>
    </row>
    <row r="73">
      <c r="A73" s="25" t="inlineStr">
        <is>
          <t>R2-21</t>
        </is>
      </c>
      <c r="B73" s="8" t="inlineStr">
        <is>
          <t>Résultat de recherche : barème 2024 de la Chambre d'agriculture de l'Yonne (foin départ ferme 102-107 €/t brute en prairie naturelle, 117-127 €/t en luzerne) - PDF devenu 404</t>
        </is>
      </c>
      <c r="C73" s="25" t="inlineStr">
        <is>
          <t>https://bourgognefranchecomte.chambres-agriculture.fr/fileadmin/user_upload/Bourgogne-Franche-Comte/061_Inst-Bourgogne-Franche-Comte/CA89/Foncier/Baremes-2024.pdf</t>
        </is>
      </c>
      <c r="D73" s="25" t="inlineStr">
        <is>
          <t>organisme agricole (chambre)</t>
        </is>
      </c>
      <c r="E73" s="25" t="inlineStr">
        <is>
          <t>2026-10-14</t>
        </is>
      </c>
      <c r="F73" s="25" t="inlineStr">
        <is>
          <t>extrait</t>
        </is>
      </c>
      <c r="G73" s="25" t="inlineStr">
        <is>
          <t>§5.2 §9.5</t>
        </is>
      </c>
      <c r="H73" s="25" t="inlineStr">
        <is>
          <t>moyenne</t>
        </is>
      </c>
    </row>
    <row r="74">
      <c r="A74" s="25" t="inlineStr">
        <is>
          <t>R2-22</t>
        </is>
      </c>
      <c r="B74" s="8" t="inlineStr">
        <is>
          <t>Résultat de recherche : Synthèse prix fourrages 2024, Chambre d'agriculture Nouvelle-Aquitaine (foin sur pied 64-69 €/t, paille 70 €/t dans le calcul) - PDF devenu 404</t>
        </is>
      </c>
      <c r="C74" s="25" t="inlineStr">
        <is>
          <t>https://cmds.chambre-agriculture.fr/fileadmin/user_upload/Nouvelle-Aquitaine/208_Inst-cmds/Actualites/2024/Documents/Synthese_prix_fourrages_2024.pdf</t>
        </is>
      </c>
      <c r="D74" s="25" t="inlineStr">
        <is>
          <t>organisme agricole (chambre)</t>
        </is>
      </c>
      <c r="E74" s="25" t="inlineStr">
        <is>
          <t>2026-10-14</t>
        </is>
      </c>
      <c r="F74" s="25" t="inlineStr">
        <is>
          <t>extrait</t>
        </is>
      </c>
      <c r="G74" s="25" t="inlineStr">
        <is>
          <t>§5.2 §9.5</t>
        </is>
      </c>
      <c r="H74" s="25" t="inlineStr">
        <is>
          <t>moyenne</t>
        </is>
      </c>
    </row>
    <row r="75">
      <c r="A75" s="25" t="inlineStr">
        <is>
          <t>R2-23</t>
        </is>
      </c>
      <c r="B75" s="8" t="inlineStr">
        <is>
          <t>Résultat de recherche : barème 2025 Chambre d'agriculture Hauts-de-France (paille en andain 25-30 €/t, fumier bovin en tas 18-22 €/t) - attribution incertaine : URL = résultat le plus proche, non ouvert</t>
        </is>
      </c>
      <c r="C75" s="25" t="inlineStr">
        <is>
          <t>https://reussir.fr/grandes-cultures/echange-paille-fumier-2023-comment-definir-les-modalites</t>
        </is>
      </c>
      <c r="D75" s="25" t="inlineStr">
        <is>
          <t>presse agricole / chambre (non ouvert)</t>
        </is>
      </c>
      <c r="E75" s="25" t="inlineStr">
        <is>
          <t>2026-10-14</t>
        </is>
      </c>
      <c r="F75" s="25" t="inlineStr">
        <is>
          <t>extrait</t>
        </is>
      </c>
      <c r="G75" s="25" t="inlineStr">
        <is>
          <t>§5.2 §8.3</t>
        </is>
      </c>
      <c r="H75" s="25" t="inlineStr">
        <is>
          <t>faible</t>
        </is>
      </c>
    </row>
    <row r="76">
      <c r="A76" s="25" t="inlineStr">
        <is>
          <t>R2-24</t>
        </is>
      </c>
      <c r="B76" s="8" t="inlineStr">
        <is>
          <t>IFCE / REFE, 4e journée du Réseau économique de la filière équine (19/01/2011) : « Un système d'alimentation avec des coûts maîtrisés dans une écurie de pensions » (P. et A. Artaud, Hérault, données 2008-2010, cas unique, PDF texte extrait)</t>
        </is>
      </c>
      <c r="C76" s="25" t="inlineStr">
        <is>
          <t>https://www.ifce.fr/wp-content/uploads/2015/07/OESC-2012Temoignage-Systeme_couts_maitrises_Artaud.pdf</t>
        </is>
      </c>
      <c r="D76" s="25" t="inlineStr">
        <is>
          <t>organisme public (IFCE), témoignage d'exploitant</t>
        </is>
      </c>
      <c r="E76" s="25" t="inlineStr">
        <is>
          <t>2026-10-14</t>
        </is>
      </c>
      <c r="F76" s="25" t="inlineStr">
        <is>
          <t>page_lue</t>
        </is>
      </c>
      <c r="G76" s="25" t="inlineStr">
        <is>
          <t>§6.2 §6.3 §9 §10</t>
        </is>
      </c>
      <c r="H76" s="25" t="inlineStr">
        <is>
          <t>moyenne</t>
        </is>
      </c>
    </row>
    <row r="77">
      <c r="A77" s="25" t="inlineStr">
        <is>
          <t>R2-25</t>
        </is>
      </c>
      <c r="B77" s="8" t="inlineStr">
        <is>
          <t>Résultat de recherche : monographie Réseau Équin / Idele (données 2019) - centre équestre + pension, 3 UMO, 54 équidés dont 25 en pension, carrière 30 x 60 m, manège 43 x 20 m (PDF protégé, non ouvert)</t>
        </is>
      </c>
      <c r="C77" s="25" t="inlineStr">
        <is>
          <t>https://idele.fr/fileadmin/medias/Documents/Monographie_d_exploitation_equine_1.pdf</t>
        </is>
      </c>
      <c r="D77" s="25" t="inlineStr">
        <is>
          <t>organisme technique (Idele / Réseau Équin)</t>
        </is>
      </c>
      <c r="E77" s="25" t="inlineStr">
        <is>
          <t>2026-10-14</t>
        </is>
      </c>
      <c r="F77" s="25" t="inlineStr">
        <is>
          <t>extrait</t>
        </is>
      </c>
      <c r="G77" s="25" t="inlineStr">
        <is>
          <t>§6.3 §9</t>
        </is>
      </c>
      <c r="H77" s="25" t="inlineStr">
        <is>
          <t>moyenne</t>
        </is>
      </c>
    </row>
    <row r="78">
      <c r="A78" s="25" t="inlineStr">
        <is>
          <t>R2-26</t>
        </is>
      </c>
      <c r="B78" s="8" t="inlineStr">
        <is>
          <t>Résultat de recherche : Chambres d'agriculture Hauts-de-France « pension hébergement » (environ 1 000 € par box en aménagement de bâtiment existant avec autoconstruction, entretien prairie hors récolte environ 185 €/ha/an, données 2008) - PDF devenu 404</t>
        </is>
      </c>
      <c r="C78" s="25" t="inlineStr">
        <is>
          <t>https://hautsdefrance.chambres-agriculture.fr/fileadmin/user_upload/National/FAL_commun/publications/Hauts-de-France/pension_hebergement.pdf</t>
        </is>
      </c>
      <c r="D78" s="25" t="inlineStr">
        <is>
          <t>organisme agricole (chambre)</t>
        </is>
      </c>
      <c r="E78" s="25" t="inlineStr">
        <is>
          <t>2026-10-14</t>
        </is>
      </c>
      <c r="F78" s="25" t="inlineStr">
        <is>
          <t>extrait</t>
        </is>
      </c>
      <c r="G78" s="25" t="inlineStr">
        <is>
          <t>§5.3 §7</t>
        </is>
      </c>
      <c r="H78" s="25" t="inlineStr">
        <is>
          <t>faible</t>
        </is>
      </c>
    </row>
    <row r="79">
      <c r="A79" s="25" t="inlineStr">
        <is>
          <t>R2-27</t>
        </is>
      </c>
      <c r="B79" s="8" t="inlineStr">
        <is>
          <t>Combien coûte la construction d'un manège équestre ? (HelloPro, guide d'achat, « chiffres constatés en octobre 2026 », HT ou TTC non précisé)</t>
        </is>
      </c>
      <c r="C79" s="25" t="inlineStr">
        <is>
          <t>https://conseils.hellopro.fr/combien-coute-la-construction-d-un-manege-equestre-4612.html</t>
        </is>
      </c>
      <c r="D79" s="25" t="inlineStr">
        <is>
          <t>site commercial (place de marché B2B)</t>
        </is>
      </c>
      <c r="E79" s="25" t="inlineStr">
        <is>
          <t>2026-10-14</t>
        </is>
      </c>
      <c r="F79" s="25" t="inlineStr">
        <is>
          <t>page_lue</t>
        </is>
      </c>
      <c r="G79" s="25" t="inlineStr">
        <is>
          <t>§7 §9.5</t>
        </is>
      </c>
      <c r="H79" s="25" t="inlineStr">
        <is>
          <t>faible</t>
        </is>
      </c>
    </row>
    <row r="80">
      <c r="A80" s="25" t="inlineStr">
        <is>
          <t>R2-28</t>
        </is>
      </c>
      <c r="B80" s="8" t="inlineStr">
        <is>
          <t>Combien coûte un box pour cheval ? (HelloPro, guide d'achat, « chiffres constatés en octobre 2026 », HT ou TTC non précisé)</t>
        </is>
      </c>
      <c r="C80" s="25" t="inlineStr">
        <is>
          <t>https://conseils.hellopro.fr/combien-coute-un-box-pour-cheval-4665.html</t>
        </is>
      </c>
      <c r="D80" s="25" t="inlineStr">
        <is>
          <t>site commercial (place de marché B2B)</t>
        </is>
      </c>
      <c r="E80" s="25" t="inlineStr">
        <is>
          <t>2026-10-14</t>
        </is>
      </c>
      <c r="F80" s="25" t="inlineStr">
        <is>
          <t>page_lue</t>
        </is>
      </c>
      <c r="G80" s="25" t="inlineStr">
        <is>
          <t>§7 §9.5</t>
        </is>
      </c>
      <c r="H80" s="25" t="inlineStr">
        <is>
          <t>faible</t>
        </is>
      </c>
    </row>
    <row r="81">
      <c r="A81" s="25" t="inlineStr">
        <is>
          <t>R2-29</t>
        </is>
      </c>
      <c r="B81" s="8" t="inlineStr">
        <is>
          <t>Résultat de recherche : référentiel prix bâtiment équin, Chambre d'agriculture de Normandie (PDF non lu : réseau des chambres « actuellement en maintenance » le 14/10/2026)</t>
        </is>
      </c>
      <c r="C81" s="25" t="inlineStr">
        <is>
          <t>https://refonte-normandie.chambres-agriculture.fr/fileadmin/user_upload/National/FAL_commun/publications/Normandie/equin-referentiel-prix-batiment-Normandie.pdf</t>
        </is>
      </c>
      <c r="D81" s="25" t="inlineStr">
        <is>
          <t>organisme agricole (chambre)</t>
        </is>
      </c>
      <c r="E81" s="25" t="inlineStr">
        <is>
          <t>2026-10-14</t>
        </is>
      </c>
      <c r="F81" s="25" t="inlineStr">
        <is>
          <t>extrait</t>
        </is>
      </c>
      <c r="G81" s="25" t="inlineStr">
        <is>
          <t>§7</t>
        </is>
      </c>
      <c r="H81" s="25" t="inlineStr">
        <is>
          <t>moyenne</t>
        </is>
      </c>
    </row>
    <row r="82">
      <c r="A82" s="25" t="inlineStr">
        <is>
          <t>R2-30</t>
        </is>
      </c>
      <c r="B82" s="8" t="inlineStr">
        <is>
          <t>Guide des coûts de revient des matériels en cuma, Édition Est 2025-2026 (FRCUMA Hauts-de-France, Grand Est, Centre-Val de Loire, BFC, AURA, PACA, parution octobre 2025, données comptables 2023-2024, pages lues en image)</t>
        </is>
      </c>
      <c r="C82" s="25" t="inlineStr">
        <is>
          <t>https://www.cuma.fr/app/uploads/sites/4/2026/01/guide-des-couts-de-revient-gpr-edition-est-2025-2026.pdf</t>
        </is>
      </c>
      <c r="D82" s="25" t="inlineStr">
        <is>
          <t>organisme professionnel agricole (réseau cuma)</t>
        </is>
      </c>
      <c r="E82" s="25" t="inlineStr">
        <is>
          <t>2026-10-14</t>
        </is>
      </c>
      <c r="F82" s="25" t="inlineStr">
        <is>
          <t>page_lue</t>
        </is>
      </c>
      <c r="G82" s="25" t="inlineStr">
        <is>
          <t>§4 §9.5 §10</t>
        </is>
      </c>
      <c r="H82" s="25" t="inlineStr">
        <is>
          <t>haute</t>
        </is>
      </c>
    </row>
    <row r="83">
      <c r="A83" s="25" t="inlineStr">
        <is>
          <t>R2-31</t>
        </is>
      </c>
      <c r="B83" s="8" t="inlineStr">
        <is>
          <t>IFCE (P. Doligez), présentation « Gérer son fumier » (26/11/2020, références DEXEL Idele 2018, PDF texte extrait)</t>
        </is>
      </c>
      <c r="C83" s="25" t="inlineStr">
        <is>
          <t>https://www.ifce.fr/wp-content/uploads/2020/11/Gerer_son_fumier_26112020.pdf</t>
        </is>
      </c>
      <c r="D83" s="25" t="inlineStr">
        <is>
          <t>organisme public (IFCE)</t>
        </is>
      </c>
      <c r="E83" s="25" t="inlineStr">
        <is>
          <t>2026-10-14</t>
        </is>
      </c>
      <c r="F83" s="25" t="inlineStr">
        <is>
          <t>page_lue</t>
        </is>
      </c>
      <c r="G83" s="25" t="inlineStr">
        <is>
          <t>§8.3 §9.5</t>
        </is>
      </c>
      <c r="H83" s="25" t="inlineStr">
        <is>
          <t>haute</t>
        </is>
      </c>
    </row>
    <row r="84">
      <c r="A84" s="25" t="inlineStr">
        <is>
          <t>R2-32</t>
        </is>
      </c>
      <c r="B84" s="8" t="inlineStr">
        <is>
          <t>MSA Auvergne, « La gestion du fumier de cheval - Fiches ressources filière équine » (sources IFCE, document postérieur à 2023, PDF texte extrait)</t>
        </is>
      </c>
      <c r="C84" s="25" t="inlineStr">
        <is>
          <t>https://auvergne.msa.fr/lfp/documents/98805/400893979/La+gestion+du+fumier+-+fili%C3%A8re+%C3%A9quine.pdf</t>
        </is>
      </c>
      <c r="D84" s="25" t="inlineStr">
        <is>
          <t>organisme public (MSA)</t>
        </is>
      </c>
      <c r="E84" s="25" t="inlineStr">
        <is>
          <t>2026-10-14</t>
        </is>
      </c>
      <c r="F84" s="25" t="inlineStr">
        <is>
          <t>page_lue</t>
        </is>
      </c>
      <c r="G84" s="25" t="inlineStr">
        <is>
          <t>§6.1 §8 §10</t>
        </is>
      </c>
      <c r="H84" s="25" t="inlineStr">
        <is>
          <t>haute</t>
        </is>
      </c>
    </row>
    <row r="85">
      <c r="A85" s="25" t="inlineStr">
        <is>
          <t>R3-01</t>
        </is>
      </c>
      <c r="B85" s="8" t="inlineStr">
        <is>
          <t>Service-public : Impôt sur la fortune immobilière (IFI) : personnes et biens concernés (F563, vérifié le 06/03/2026)</t>
        </is>
      </c>
      <c r="C85" s="25" t="inlineStr">
        <is>
          <t>https://www.service-public.gouv.fr/particuliers/vosdroits/F563</t>
        </is>
      </c>
      <c r="D85" s="25" t="inlineStr">
        <is>
          <t>site officiel administration</t>
        </is>
      </c>
      <c r="E85" s="25" t="inlineStr">
        <is>
          <t>2026-10-14</t>
        </is>
      </c>
      <c r="F85" s="25" t="inlineStr">
        <is>
          <t>page_lue</t>
        </is>
      </c>
      <c r="G85" s="25" t="inlineStr">
        <is>
          <t>Q3 IFI</t>
        </is>
      </c>
      <c r="H85" s="25" t="inlineStr">
        <is>
          <t>haute</t>
        </is>
      </c>
    </row>
    <row r="86">
      <c r="A86" s="25" t="inlineStr">
        <is>
          <t>R3-02</t>
        </is>
      </c>
      <c r="B86" s="8" t="inlineStr">
        <is>
          <t>BOFiP BOI-ANNX-000093-20181219 : tableau synthétique du régime des monuments historiques et immeubles labellisés Fondation du patrimoine</t>
        </is>
      </c>
      <c r="C86" s="25" t="inlineStr">
        <is>
          <t>https://bofip.impots.gouv.fr/bofip/1813-PGP.html/identifiant=BOI-ANNX-000093-20181219</t>
        </is>
      </c>
      <c r="D86" s="25" t="inlineStr">
        <is>
          <t>doctrine fiscale officielle</t>
        </is>
      </c>
      <c r="E86" s="25" t="inlineStr">
        <is>
          <t>2026-10-14</t>
        </is>
      </c>
      <c r="F86" s="25" t="inlineStr">
        <is>
          <t>page_lue</t>
        </is>
      </c>
      <c r="G86" s="25" t="inlineStr">
        <is>
          <t>Q1 MH</t>
        </is>
      </c>
      <c r="H86" s="25" t="inlineStr">
        <is>
          <t>haute</t>
        </is>
      </c>
    </row>
    <row r="87">
      <c r="A87" s="25" t="inlineStr">
        <is>
          <t>R3-03</t>
        </is>
      </c>
      <c r="B87" s="8" t="inlineStr">
        <is>
          <t>BOFiP BOI-RFPI-SPEC-30-10-20181219 : monuments historiques et assimilés, immeubles concernés</t>
        </is>
      </c>
      <c r="C87" s="25" t="inlineStr">
        <is>
          <t>https://bofip.impots.gouv.fr/bofip/1951-PGP.html/identifiant=BOI-RFPI-SPEC-30-10-20181219</t>
        </is>
      </c>
      <c r="D87" s="25" t="inlineStr">
        <is>
          <t>doctrine fiscale officielle</t>
        </is>
      </c>
      <c r="E87" s="25" t="inlineStr">
        <is>
          <t>2026-10-14</t>
        </is>
      </c>
      <c r="F87" s="25" t="inlineStr">
        <is>
          <t>page_lue</t>
        </is>
      </c>
      <c r="G87" s="25" t="inlineStr">
        <is>
          <t>Q1 MH</t>
        </is>
      </c>
      <c r="H87" s="25" t="inlineStr">
        <is>
          <t>haute</t>
        </is>
      </c>
    </row>
    <row r="88">
      <c r="A88" s="25" t="inlineStr">
        <is>
          <t>R3-04</t>
        </is>
      </c>
      <c r="B88" s="8" t="inlineStr">
        <is>
          <t>BOFiP BOI-RFPI-SPEC-30-20-10-20181219 : MH, immeuble procurant des recettes imposables et non occupé par son propriétaire (export PDF, texte extrait)</t>
        </is>
      </c>
      <c r="C88" s="25" t="inlineStr">
        <is>
          <t>https://bofip.impots.gouv.fr/export/pdf/5746 (page : https://bofip.impots.gouv.fr/bofip/3427-PGP.html/identifiant=BOI-RFPI-SPEC-30-20-10-20181219)</t>
        </is>
      </c>
      <c r="D88" s="25" t="inlineStr">
        <is>
          <t>doctrine fiscale officielle</t>
        </is>
      </c>
      <c r="E88" s="25" t="inlineStr">
        <is>
          <t>2026-10-14</t>
        </is>
      </c>
      <c r="F88" s="25" t="inlineStr">
        <is>
          <t>page_lue</t>
        </is>
      </c>
      <c r="G88" s="25" t="inlineStr">
        <is>
          <t>Q1 MH</t>
        </is>
      </c>
      <c r="H88" s="25" t="inlineStr">
        <is>
          <t>haute</t>
        </is>
      </c>
    </row>
    <row r="89">
      <c r="A89" s="25" t="inlineStr">
        <is>
          <t>R3-05</t>
        </is>
      </c>
      <c r="B89" s="8" t="inlineStr">
        <is>
          <t>BOFiP BOI-RFPI-SPEC-30-20-20-20181219 : MH, immeuble ne procurant pas de recettes imposables</t>
        </is>
      </c>
      <c r="C89" s="25" t="inlineStr">
        <is>
          <t>https://bofip.impots.gouv.fr/doctrine/pgp/3429-PGP</t>
        </is>
      </c>
      <c r="D89" s="25" t="inlineStr">
        <is>
          <t>doctrine fiscale officielle</t>
        </is>
      </c>
      <c r="E89" s="25" t="inlineStr">
        <is>
          <t>2026-10-14</t>
        </is>
      </c>
      <c r="F89" s="25" t="inlineStr">
        <is>
          <t>page_lue</t>
        </is>
      </c>
      <c r="G89" s="25" t="inlineStr">
        <is>
          <t>Q1 MH</t>
        </is>
      </c>
      <c r="H89" s="25" t="inlineStr">
        <is>
          <t>haute</t>
        </is>
      </c>
    </row>
    <row r="90">
      <c r="A90" s="25" t="inlineStr">
        <is>
          <t>R3-06</t>
        </is>
      </c>
      <c r="B90" s="8" t="inlineStr">
        <is>
          <t>BOFiP BOI-RFPI-SPEC-30-30-20181219 : MH, conditions (conservation 15 ans, détention directe, copropriété)</t>
        </is>
      </c>
      <c r="C90" s="25" t="inlineStr">
        <is>
          <t>https://bofip.impots.gouv.fr/bofip/1935-PGP</t>
        </is>
      </c>
      <c r="D90" s="25" t="inlineStr">
        <is>
          <t>doctrine fiscale officielle</t>
        </is>
      </c>
      <c r="E90" s="25" t="inlineStr">
        <is>
          <t>2026-10-14</t>
        </is>
      </c>
      <c r="F90" s="25" t="inlineStr">
        <is>
          <t>page_lue</t>
        </is>
      </c>
      <c r="G90" s="25" t="inlineStr">
        <is>
          <t>Q1 MH</t>
        </is>
      </c>
      <c r="H90" s="25" t="inlineStr">
        <is>
          <t>haute</t>
        </is>
      </c>
    </row>
    <row r="91">
      <c r="A91" s="25" t="inlineStr">
        <is>
          <t>R3-07</t>
        </is>
      </c>
      <c r="B91" s="8" t="inlineStr">
        <is>
          <t>BOFiP BOI-RFPI-SPEC-30-20181219 : régime des monuments historiques et assimilés, présentation générale</t>
        </is>
      </c>
      <c r="C91" s="25" t="inlineStr">
        <is>
          <t>https://bofip.impots.gouv.fr/bofip/1817-PGP.html/identifiant%3DBOI-RFPI-SPEC-30-20181219</t>
        </is>
      </c>
      <c r="D91" s="25" t="inlineStr">
        <is>
          <t>doctrine fiscale officielle</t>
        </is>
      </c>
      <c r="E91" s="25" t="inlineStr">
        <is>
          <t>2026-10-14</t>
        </is>
      </c>
      <c r="F91" s="25" t="inlineStr">
        <is>
          <t>page_lue</t>
        </is>
      </c>
      <c r="G91" s="25" t="inlineStr">
        <is>
          <t>Q1 MH</t>
        </is>
      </c>
      <c r="H91" s="25" t="inlineStr">
        <is>
          <t>haute</t>
        </is>
      </c>
    </row>
    <row r="92">
      <c r="A92" s="25" t="inlineStr">
        <is>
          <t>R3-08</t>
        </is>
      </c>
      <c r="B92" s="8" t="inlineStr">
        <is>
          <t>Fondation du patrimoine : Défiscaliser vos travaux (label)</t>
        </is>
      </c>
      <c r="C92" s="25" t="inlineStr">
        <is>
          <t>https://www.fondation-patrimoine.org/c/soumettre-un-projet/defiscaliser-travaux/232</t>
        </is>
      </c>
      <c r="D92" s="25" t="inlineStr">
        <is>
          <t>site d'organisme reconnu d'utilité publique (Fondation du patrimoine)</t>
        </is>
      </c>
      <c r="E92" s="25" t="inlineStr">
        <is>
          <t>2026-10-14</t>
        </is>
      </c>
      <c r="F92" s="25" t="inlineStr">
        <is>
          <t>page_lue</t>
        </is>
      </c>
      <c r="G92" s="25" t="inlineStr">
        <is>
          <t>Q1 label FdP</t>
        </is>
      </c>
      <c r="H92" s="25" t="inlineStr">
        <is>
          <t>haute</t>
        </is>
      </c>
    </row>
    <row r="93">
      <c r="A93" s="25" t="inlineStr">
        <is>
          <t>R3-09</t>
        </is>
      </c>
      <c r="B93" s="8" t="inlineStr">
        <is>
          <t>Fondation du patrimoine : Organiser une collecte de dons</t>
        </is>
      </c>
      <c r="C93" s="25" t="inlineStr">
        <is>
          <t>https://www.fondation-patrimoine.org/c/soumettre-un-projet/organiser-une-collecte/233</t>
        </is>
      </c>
      <c r="D93" s="25" t="inlineStr">
        <is>
          <t>site d'organisme reconnu d'utilité publique (Fondation du patrimoine)</t>
        </is>
      </c>
      <c r="E93" s="25" t="inlineStr">
        <is>
          <t>2026-10-14</t>
        </is>
      </c>
      <c r="F93" s="25" t="inlineStr">
        <is>
          <t>page_lue</t>
        </is>
      </c>
      <c r="G93" s="25" t="inlineStr">
        <is>
          <t>Q4 mécénat</t>
        </is>
      </c>
      <c r="H93" s="25" t="inlineStr">
        <is>
          <t>haute</t>
        </is>
      </c>
    </row>
    <row r="94">
      <c r="A94" s="25" t="inlineStr">
        <is>
          <t>R3-10</t>
        </is>
      </c>
      <c r="B94" s="8" t="inlineStr">
        <is>
          <t>BOFiP BOI-IR-RICI-250-10-20-30-20120912 : dons à la Fondation du patrimoine pour des immeubles privés (version en vigueur depuis 2012, vérifier l'article 200 CGI actuel)</t>
        </is>
      </c>
      <c r="C94" s="25" t="inlineStr">
        <is>
          <t>https://bofip.impots.gouv.fr/bofip/5870-PGP</t>
        </is>
      </c>
      <c r="D94" s="25" t="inlineStr">
        <is>
          <t>doctrine fiscale officielle</t>
        </is>
      </c>
      <c r="E94" s="25" t="inlineStr">
        <is>
          <t>2026-10-14</t>
        </is>
      </c>
      <c r="F94" s="25" t="inlineStr">
        <is>
          <t>page_lue</t>
        </is>
      </c>
      <c r="G94" s="25" t="inlineStr">
        <is>
          <t>Q4 mécénat</t>
        </is>
      </c>
      <c r="H94" s="25" t="inlineStr">
        <is>
          <t>haute</t>
        </is>
      </c>
    </row>
    <row r="95">
      <c r="A95" s="25" t="inlineStr">
        <is>
          <t>R3-11</t>
        </is>
      </c>
      <c r="B95" s="8" t="inlineStr">
        <is>
          <t>Sénat, avis PLF 2026 culture-patrimoines (a25-144-21, synthèse) — vu en résultat de recherche</t>
        </is>
      </c>
      <c r="C95" s="25" t="inlineStr">
        <is>
          <t>https://www.senat.fr/rap/a25-144-21/a25-144-21-syn.pdf</t>
        </is>
      </c>
      <c r="D95" s="25" t="inlineStr">
        <is>
          <t>rapport parlementaire</t>
        </is>
      </c>
      <c r="E95" s="25" t="inlineStr">
        <is>
          <t>2026-10-14</t>
        </is>
      </c>
      <c r="F95" s="25" t="inlineStr">
        <is>
          <t>extrait</t>
        </is>
      </c>
      <c r="G95" s="25" t="inlineStr">
        <is>
          <t>Q1 contexte subventions</t>
        </is>
      </c>
      <c r="H95" s="25" t="inlineStr">
        <is>
          <t>haute</t>
        </is>
      </c>
    </row>
    <row r="96">
      <c r="A96" s="25" t="inlineStr">
        <is>
          <t>R3-12</t>
        </is>
      </c>
      <c r="B96" s="8" t="inlineStr">
        <is>
          <t>Assemblée nationale, amendement n° 885 PLF 2026 (exonération IFI et taxe foncière des MH ouverts au public) — vu en résultat de recherche, marqué « Rejeté »</t>
        </is>
      </c>
      <c r="C96" s="25" t="inlineStr">
        <is>
          <t>https://www.assemblee-nationale.fr/dyn/17/amendements/1906A/AN/885.pdf</t>
        </is>
      </c>
      <c r="D96" s="25" t="inlineStr">
        <is>
          <t>document parlementaire</t>
        </is>
      </c>
      <c r="E96" s="25" t="inlineStr">
        <is>
          <t>2026-10-14</t>
        </is>
      </c>
      <c r="F96" s="25" t="inlineStr">
        <is>
          <t>extrait</t>
        </is>
      </c>
      <c r="G96" s="25" t="inlineStr">
        <is>
          <t>Q1 Q3</t>
        </is>
      </c>
      <c r="H96" s="25" t="inlineStr">
        <is>
          <t>moyenne</t>
        </is>
      </c>
    </row>
    <row r="97">
      <c r="A97" s="25" t="inlineStr">
        <is>
          <t>R3-13</t>
        </is>
      </c>
      <c r="B97" s="8" t="inlineStr">
        <is>
          <t>BOFiP BOI-ENR-DMTG-10-20-30-60 (version du 06/11/2025) : exonération DMTG des monuments historiques (art. 795 A CGI)</t>
        </is>
      </c>
      <c r="C97" s="25" t="inlineStr">
        <is>
          <t>https://bofip.impots.gouv.fr/bofip/2318-PGP</t>
        </is>
      </c>
      <c r="D97" s="25" t="inlineStr">
        <is>
          <t>doctrine fiscale officielle</t>
        </is>
      </c>
      <c r="E97" s="25" t="inlineStr">
        <is>
          <t>2026-10-14</t>
        </is>
      </c>
      <c r="F97" s="25" t="inlineStr">
        <is>
          <t>page_lue</t>
        </is>
      </c>
      <c r="G97" s="25" t="inlineStr">
        <is>
          <t>Q2 transmission</t>
        </is>
      </c>
      <c r="H97" s="25" t="inlineStr">
        <is>
          <t>haute</t>
        </is>
      </c>
    </row>
    <row r="98">
      <c r="A98" s="25" t="inlineStr">
        <is>
          <t>R3-14</t>
        </is>
      </c>
      <c r="B98" s="8" t="inlineStr">
        <is>
          <t>BOFiP actualité ACTU-2023-00069 du 25/07/2023 : décret n° 2023-103 du 16/02/2023, convention type 795 A et conditions d'ouverture</t>
        </is>
      </c>
      <c r="C98" s="25" t="inlineStr">
        <is>
          <t>https://bofip.impots.gouv.fr/bofip/13906-PGP.html/ACTU-2023-00069</t>
        </is>
      </c>
      <c r="D98" s="25" t="inlineStr">
        <is>
          <t>doctrine fiscale officielle</t>
        </is>
      </c>
      <c r="E98" s="25" t="inlineStr">
        <is>
          <t>2026-10-14</t>
        </is>
      </c>
      <c r="F98" s="25" t="inlineStr">
        <is>
          <t>page_lue</t>
        </is>
      </c>
      <c r="G98" s="25" t="inlineStr">
        <is>
          <t>Q2 transmission</t>
        </is>
      </c>
      <c r="H98" s="25" t="inlineStr">
        <is>
          <t>haute</t>
        </is>
      </c>
    </row>
    <row r="99">
      <c r="A99" s="25" t="inlineStr">
        <is>
          <t>R3-15</t>
        </is>
      </c>
      <c r="B99" s="8" t="inlineStr">
        <is>
          <t>Service-public : Calcul de l'impôt sur la fortune immobilière (IFI) (F138, vérifié le 06/03/2026)</t>
        </is>
      </c>
      <c r="C99" s="25" t="inlineStr">
        <is>
          <t>https://www.service-public.gouv.fr/particuliers/vosdroits/F138</t>
        </is>
      </c>
      <c r="D99" s="25" t="inlineStr">
        <is>
          <t>site officiel administration</t>
        </is>
      </c>
      <c r="E99" s="25" t="inlineStr">
        <is>
          <t>2026-10-14</t>
        </is>
      </c>
      <c r="F99" s="25" t="inlineStr">
        <is>
          <t>page_lue</t>
        </is>
      </c>
      <c r="G99" s="25" t="inlineStr">
        <is>
          <t>Q3 IFI</t>
        </is>
      </c>
      <c r="H99" s="25" t="inlineStr">
        <is>
          <t>haute</t>
        </is>
      </c>
    </row>
    <row r="100">
      <c r="A100" s="25" t="inlineStr">
        <is>
          <t>R3-16</t>
        </is>
      </c>
      <c r="B100" s="8" t="inlineStr">
        <is>
          <t>Service-public : Prélèvements sociaux (CSG, CRDS...) sur les revenus du patrimoine et de placements (F2329, vérifié le 30/06/2026)</t>
        </is>
      </c>
      <c r="C100" s="25" t="inlineStr">
        <is>
          <t>https://www.service-public.gouv.fr/particuliers/vosdroits/F2329</t>
        </is>
      </c>
      <c r="D100" s="25" t="inlineStr">
        <is>
          <t>site officiel administration</t>
        </is>
      </c>
      <c r="E100" s="25" t="inlineStr">
        <is>
          <t>2026-10-14</t>
        </is>
      </c>
      <c r="F100" s="25" t="inlineStr">
        <is>
          <t>page_lue</t>
        </is>
      </c>
      <c r="G100" s="25" t="inlineStr">
        <is>
          <t>Q5 PFU</t>
        </is>
      </c>
      <c r="H100" s="25" t="inlineStr">
        <is>
          <t>haute</t>
        </is>
      </c>
    </row>
    <row r="101">
      <c r="A101" s="25" t="inlineStr">
        <is>
          <t>R3-17</t>
        </is>
      </c>
      <c r="B101" s="8" t="inlineStr">
        <is>
          <t>Que Choisir (O. Puren, 19/01/2026) : Hausse de la CSG, vos revenus sont-ils concernés ?</t>
        </is>
      </c>
      <c r="C101" s="25" t="inlineStr">
        <is>
          <t>https://www.quechoisir.org/actualite-hausse-de-la-csg-vos-revenus-sont-ils-concernes-n173786/</t>
        </is>
      </c>
      <c r="D101" s="25" t="inlineStr">
        <is>
          <t>presse consommateurs</t>
        </is>
      </c>
      <c r="E101" s="25" t="inlineStr">
        <is>
          <t>2026-10-14</t>
        </is>
      </c>
      <c r="F101" s="25" t="inlineStr">
        <is>
          <t>page_lue</t>
        </is>
      </c>
      <c r="G101" s="25" t="inlineStr">
        <is>
          <t>Q5 PFU</t>
        </is>
      </c>
      <c r="H101" s="25" t="inlineStr">
        <is>
          <t>moyenne</t>
        </is>
      </c>
    </row>
    <row r="102">
      <c r="A102" s="25" t="inlineStr">
        <is>
          <t>R3-18</t>
        </is>
      </c>
      <c r="B102" s="8" t="inlineStr">
        <is>
          <t>Simon Associés, Lettre de la fiscalité février 2026 : loi de finances pour 2026 (n° 2026-103 du 19/02/2026) (PDF ouvert, texte extrait localement)</t>
        </is>
      </c>
      <c r="C102" s="25" t="inlineStr">
        <is>
          <t>https://simonassocies.com/wp-content/uploads/2026/02/Lettre-de-la-Fiscalite-Fevrier-2026-Loi-de-finances-VDEF-1.pdf</t>
        </is>
      </c>
      <c r="D102" s="25" t="inlineStr">
        <is>
          <t>cabinet d'avocats</t>
        </is>
      </c>
      <c r="E102" s="25" t="inlineStr">
        <is>
          <t>2026-10-14</t>
        </is>
      </c>
      <c r="F102" s="25" t="inlineStr">
        <is>
          <t>page_lue</t>
        </is>
      </c>
      <c r="G102" s="25" t="inlineStr">
        <is>
          <t>Q5 holdings, Q1, Q6</t>
        </is>
      </c>
      <c r="H102" s="25" t="inlineStr">
        <is>
          <t>moyenne</t>
        </is>
      </c>
    </row>
    <row r="103">
      <c r="A103" s="25" t="inlineStr">
        <is>
          <t>R3-19</t>
        </is>
      </c>
      <c r="B103" s="8" t="inlineStr">
        <is>
          <t>Eurex (ATH), Les principales mesures de la loi de finances 2026, février 2026 (PDF ouvert, texte extrait localement)</t>
        </is>
      </c>
      <c r="C103" s="25" t="inlineStr">
        <is>
          <t>https://www.eurex.fr/wp-content/uploads/2026/02/Eurex-Les-principales-mesures-de-la-loi-de-finances-2026-Fev-2026.pdf</t>
        </is>
      </c>
      <c r="D103" s="25" t="inlineStr">
        <is>
          <t>cabinet d'expertise comptable</t>
        </is>
      </c>
      <c r="E103" s="25" t="inlineStr">
        <is>
          <t>2026-10-14</t>
        </is>
      </c>
      <c r="F103" s="25" t="inlineStr">
        <is>
          <t>page_lue</t>
        </is>
      </c>
      <c r="G103" s="25" t="inlineStr">
        <is>
          <t>Q5 holdings</t>
        </is>
      </c>
      <c r="H103" s="25" t="inlineStr">
        <is>
          <t>moyenne</t>
        </is>
      </c>
    </row>
    <row r="104">
      <c r="A104" s="25" t="inlineStr">
        <is>
          <t>R3-20</t>
        </is>
      </c>
      <c r="B104" s="8" t="inlineStr">
        <is>
          <t>Service-public Entreprendre : Impôt sur les sociétés (IS) : taux, déclaration, paiement (F23575, vérifié le 17/02/2026)</t>
        </is>
      </c>
      <c r="C104" s="25" t="inlineStr">
        <is>
          <t>https://entreprendre.service-public.gouv.fr/vosdroits/F23575</t>
        </is>
      </c>
      <c r="D104" s="25" t="inlineStr">
        <is>
          <t>site officiel administration</t>
        </is>
      </c>
      <c r="E104" s="25" t="inlineStr">
        <is>
          <t>2026-10-14</t>
        </is>
      </c>
      <c r="F104" s="25" t="inlineStr">
        <is>
          <t>page_lue</t>
        </is>
      </c>
      <c r="G104" s="25" t="inlineStr">
        <is>
          <t>Q5 IS</t>
        </is>
      </c>
      <c r="H104" s="25" t="inlineStr">
        <is>
          <t>haute</t>
        </is>
      </c>
    </row>
    <row r="105">
      <c r="A105" s="25" t="inlineStr">
        <is>
          <t>R3-21</t>
        </is>
      </c>
      <c r="B105" s="8" t="inlineStr">
        <is>
          <t>Assemblée nationale, question écrite n° 4099 (R. Ramos) et réponse du ministère de l'Économie (JO 14/02/2023) : TVA 5,5 % des centres équestres (PDF, texte extrait)</t>
        </is>
      </c>
      <c r="C105" s="25" t="inlineStr">
        <is>
          <t>https://questions.assemblee-nationale.fr/dyn/16/questions/QANR5L16QE4099.pdf</t>
        </is>
      </c>
      <c r="D105" s="25" t="inlineStr">
        <is>
          <t>réponse ministérielle</t>
        </is>
      </c>
      <c r="E105" s="25" t="inlineStr">
        <is>
          <t>2026-10-14</t>
        </is>
      </c>
      <c r="F105" s="25" t="inlineStr">
        <is>
          <t>page_lue</t>
        </is>
      </c>
      <c r="G105" s="25" t="inlineStr">
        <is>
          <t>Q6 TVA équestre</t>
        </is>
      </c>
      <c r="H105" s="25" t="inlineStr">
        <is>
          <t>haute</t>
        </is>
      </c>
    </row>
    <row r="106">
      <c r="A106" s="25" t="inlineStr">
        <is>
          <t>R3-22</t>
        </is>
      </c>
      <c r="B106" s="8" t="inlineStr">
        <is>
          <t>BOFiP BOI-TVA-SECT-80-10-30-50-20260325 : taux de TVA applicables aux opérations portant sur les équidés (version en vigueur depuis le 25/03/2026)</t>
        </is>
      </c>
      <c r="C106" s="25" t="inlineStr">
        <is>
          <t>https://bofip.impots.gouv.fr/bofip/9265-PGP.html/identifiant=BOI-TVA-SECT-80-10-30-50-20260325</t>
        </is>
      </c>
      <c r="D106" s="25" t="inlineStr">
        <is>
          <t>doctrine fiscale officielle</t>
        </is>
      </c>
      <c r="E106" s="25" t="inlineStr">
        <is>
          <t>2026-10-14</t>
        </is>
      </c>
      <c r="F106" s="25" t="inlineStr">
        <is>
          <t>page_lue</t>
        </is>
      </c>
      <c r="G106" s="25" t="inlineStr">
        <is>
          <t>Q6 TVA équestre</t>
        </is>
      </c>
      <c r="H106" s="25" t="inlineStr">
        <is>
          <t>haute</t>
        </is>
      </c>
    </row>
    <row r="107">
      <c r="A107" s="25" t="inlineStr">
        <is>
          <t>R3-23</t>
        </is>
      </c>
      <c r="B107" s="8" t="inlineStr">
        <is>
          <t>BOFiP BOI-TVA-LIQ-30-20-50-20251203 : taux réduit de 10 % des droits d'admission (expositions, sites, monuments) (version en vigueur depuis le 03/12/2025)</t>
        </is>
      </c>
      <c r="C107" s="25" t="inlineStr">
        <is>
          <t>https://bofip.impots.gouv.fr/bofip/250-PGP.html/identifiant=BOI-TVA-LIQ-30-20-50-20251203</t>
        </is>
      </c>
      <c r="D107" s="25" t="inlineStr">
        <is>
          <t>doctrine fiscale officielle</t>
        </is>
      </c>
      <c r="E107" s="25" t="inlineStr">
        <is>
          <t>2026-10-14</t>
        </is>
      </c>
      <c r="F107" s="25" t="inlineStr">
        <is>
          <t>page_lue</t>
        </is>
      </c>
      <c r="G107" s="25" t="inlineStr">
        <is>
          <t>Q6 TVA visites, location de salles</t>
        </is>
      </c>
      <c r="H107" s="25" t="inlineStr">
        <is>
          <t>haute</t>
        </is>
      </c>
    </row>
    <row r="108">
      <c r="A108" s="25" t="inlineStr">
        <is>
          <t>R3-24</t>
        </is>
      </c>
      <c r="B108" s="8" t="inlineStr">
        <is>
          <t>Service-public Entreprendre : Taux de TVA dans le secteur de l'hébergement et de l'hôtellerie (F37288, vérifié le 01/01/2024)</t>
        </is>
      </c>
      <c r="C108" s="25" t="inlineStr">
        <is>
          <t>https://entreprendre.service-public.gouv.fr/vosdroits/F37288</t>
        </is>
      </c>
      <c r="D108" s="25" t="inlineStr">
        <is>
          <t>site officiel administration</t>
        </is>
      </c>
      <c r="E108" s="25" t="inlineStr">
        <is>
          <t>2026-10-14</t>
        </is>
      </c>
      <c r="F108" s="25" t="inlineStr">
        <is>
          <t>page_lue</t>
        </is>
      </c>
      <c r="G108" s="25" t="inlineStr">
        <is>
          <t>Q6 TVA hébergement</t>
        </is>
      </c>
      <c r="H108" s="25" t="inlineStr">
        <is>
          <t>haute</t>
        </is>
      </c>
    </row>
    <row r="109">
      <c r="A109" s="25" t="inlineStr">
        <is>
          <t>R3-25</t>
        </is>
      </c>
      <c r="B109" s="8" t="inlineStr">
        <is>
          <t>Service-public Entreprendre : Taux de TVA dans le secteur agricole (F37786, vérifié le 21/02/2026)</t>
        </is>
      </c>
      <c r="C109" s="25" t="inlineStr">
        <is>
          <t>https://entreprendre.service-public.gouv.fr/vosdroits/F37786</t>
        </is>
      </c>
      <c r="D109" s="25" t="inlineStr">
        <is>
          <t>site officiel administration</t>
        </is>
      </c>
      <c r="E109" s="25" t="inlineStr">
        <is>
          <t>2026-10-14</t>
        </is>
      </c>
      <c r="F109" s="25" t="inlineStr">
        <is>
          <t>page_lue</t>
        </is>
      </c>
      <c r="G109" s="25" t="inlineStr">
        <is>
          <t>Q6 TVA agricole</t>
        </is>
      </c>
      <c r="H109" s="25" t="inlineStr">
        <is>
          <t>haute</t>
        </is>
      </c>
    </row>
    <row r="110">
      <c r="A110" s="25" t="inlineStr">
        <is>
          <t>R3-26</t>
        </is>
      </c>
      <c r="B110" s="8" t="inlineStr">
        <is>
          <t>Service-public Entreprendre : Taux de TVA dans le secteur des loisirs (culture, sport, etc.) (F37605, vérifié le 11/08/2026)</t>
        </is>
      </c>
      <c r="C110" s="25" t="inlineStr">
        <is>
          <t>https://entreprendre.service-public.gouv.fr/vosdroits/F37605</t>
        </is>
      </c>
      <c r="D110" s="25" t="inlineStr">
        <is>
          <t>site officiel administration</t>
        </is>
      </c>
      <c r="E110" s="25" t="inlineStr">
        <is>
          <t>2026-10-14</t>
        </is>
      </c>
      <c r="F110" s="25" t="inlineStr">
        <is>
          <t>page_lue</t>
        </is>
      </c>
      <c r="G110" s="25" t="inlineStr">
        <is>
          <t>Q6 TVA loisirs, équestre</t>
        </is>
      </c>
      <c r="H110" s="25" t="inlineStr">
        <is>
          <t>haute</t>
        </is>
      </c>
    </row>
    <row r="111">
      <c r="A111" s="25" t="inlineStr">
        <is>
          <t>R3-27</t>
        </is>
      </c>
      <c r="B111" s="8" t="inlineStr">
        <is>
          <t>Service-public Entreprendre : Franchise en base de TVA (F21746, vérifié le 01/01/2026)</t>
        </is>
      </c>
      <c r="C111" s="25" t="inlineStr">
        <is>
          <t>https://entreprendre.service-public.gouv.fr/vosdroits/F21746</t>
        </is>
      </c>
      <c r="D111" s="25" t="inlineStr">
        <is>
          <t>site officiel administration</t>
        </is>
      </c>
      <c r="E111" s="25" t="inlineStr">
        <is>
          <t>2026-10-14</t>
        </is>
      </c>
      <c r="F111" s="25" t="inlineStr">
        <is>
          <t>page_lue</t>
        </is>
      </c>
      <c r="G111" s="25" t="inlineStr">
        <is>
          <t>Q6 franchise TVA</t>
        </is>
      </c>
      <c r="H111" s="25" t="inlineStr">
        <is>
          <t>haute</t>
        </is>
      </c>
    </row>
    <row r="112">
      <c r="A112" s="25" t="inlineStr">
        <is>
          <t>R3-28</t>
        </is>
      </c>
      <c r="B112" s="8" t="inlineStr">
        <is>
          <t>Service-public Entreprendre : Conditions d'application du statut du bail à ferme (ou bail rural) (F38953, vérifié le 16/06/2025)</t>
        </is>
      </c>
      <c r="C112" s="25" t="inlineStr">
        <is>
          <t>https://entreprendre.service-public.gouv.fr/vosdroits/F38953</t>
        </is>
      </c>
      <c r="D112" s="25" t="inlineStr">
        <is>
          <t>site officiel administration</t>
        </is>
      </c>
      <c r="E112" s="25" t="inlineStr">
        <is>
          <t>2026-10-14</t>
        </is>
      </c>
      <c r="F112" s="25" t="inlineStr">
        <is>
          <t>page_lue</t>
        </is>
      </c>
      <c r="G112" s="25" t="inlineStr">
        <is>
          <t>Q7 bail rural</t>
        </is>
      </c>
      <c r="H112" s="25" t="inlineStr">
        <is>
          <t>haute</t>
        </is>
      </c>
    </row>
    <row r="113">
      <c r="A113" s="25" t="inlineStr">
        <is>
          <t>R3-29</t>
        </is>
      </c>
      <c r="B113" s="8" t="inlineStr">
        <is>
          <t>Service-public Entreprendre : Taux de TVA sur les produits alimentaires et les boissons (F22399, vérifié le 03/12/2025)</t>
        </is>
      </c>
      <c r="C113" s="25" t="inlineStr">
        <is>
          <t>https://entreprendre.service-public.gouv.fr/vosdroits/F22399</t>
        </is>
      </c>
      <c r="D113" s="25" t="inlineStr">
        <is>
          <t>site officiel administration</t>
        </is>
      </c>
      <c r="E113" s="25" t="inlineStr">
        <is>
          <t>2026-10-14</t>
        </is>
      </c>
      <c r="F113" s="25" t="inlineStr">
        <is>
          <t>page_lue</t>
        </is>
      </c>
      <c r="G113" s="25" t="inlineStr">
        <is>
          <t>Q6 TVA restauration</t>
        </is>
      </c>
      <c r="H113" s="25" t="inlineStr">
        <is>
          <t>haute</t>
        </is>
      </c>
    </row>
    <row r="114">
      <c r="A114" s="25" t="inlineStr">
        <is>
          <t>R3-30</t>
        </is>
      </c>
      <c r="B114" s="8" t="inlineStr">
        <is>
          <t>Service-public Entreprendre : Taux de TVA dans le secteur des énergies et des déchets (F37826, vérifié le 21/02/2026)</t>
        </is>
      </c>
      <c r="C114" s="25" t="inlineStr">
        <is>
          <t>https://entreprendre.service-public.gouv.fr/vosdroits/F37826</t>
        </is>
      </c>
      <c r="D114" s="25" t="inlineStr">
        <is>
          <t>site officiel administration</t>
        </is>
      </c>
      <c r="E114" s="25" t="inlineStr">
        <is>
          <t>2026-10-14</t>
        </is>
      </c>
      <c r="F114" s="25" t="inlineStr">
        <is>
          <t>page_lue</t>
        </is>
      </c>
      <c r="G114" s="25" t="inlineStr">
        <is>
          <t>Q6 TVA énergie</t>
        </is>
      </c>
      <c r="H114" s="25" t="inlineStr">
        <is>
          <t>haute</t>
        </is>
      </c>
    </row>
    <row r="115">
      <c r="A115" s="25" t="inlineStr">
        <is>
          <t>R3-31</t>
        </is>
      </c>
      <c r="B115" s="8" t="inlineStr">
        <is>
          <t>Service-public Entreprendre : Hébergement touristique et micro-entreprise : règles applicables aux revenus 2025 (F39451, vérifié le 21/02/2026)</t>
        </is>
      </c>
      <c r="C115" s="25" t="inlineStr">
        <is>
          <t>https://entreprendre.service-public.gouv.fr/vosdroits/F39451</t>
        </is>
      </c>
      <c r="D115" s="25" t="inlineStr">
        <is>
          <t>site officiel administration</t>
        </is>
      </c>
      <c r="E115" s="25" t="inlineStr">
        <is>
          <t>2026-10-14</t>
        </is>
      </c>
      <c r="F115" s="25" t="inlineStr">
        <is>
          <t>page_lue</t>
        </is>
      </c>
      <c r="G115" s="25" t="inlineStr">
        <is>
          <t>Q5 meublés</t>
        </is>
      </c>
      <c r="H115" s="25" t="inlineStr">
        <is>
          <t>haute</t>
        </is>
      </c>
    </row>
    <row r="116">
      <c r="A116" s="25" t="inlineStr">
        <is>
          <t>R3-32</t>
        </is>
      </c>
      <c r="B116" s="8" t="inlineStr">
        <is>
          <t>Service-public Entreprendre : Régime fiscal du loueur en meublé professionnel (LMP) (F32805, vérifié le 21/02/2026)</t>
        </is>
      </c>
      <c r="C116" s="25" t="inlineStr">
        <is>
          <t>https://entreprendre.service-public.gouv.fr/vosdroits/F32805</t>
        </is>
      </c>
      <c r="D116" s="25" t="inlineStr">
        <is>
          <t>site officiel administration</t>
        </is>
      </c>
      <c r="E116" s="25" t="inlineStr">
        <is>
          <t>2026-10-14</t>
        </is>
      </c>
      <c r="F116" s="25" t="inlineStr">
        <is>
          <t>page_lue</t>
        </is>
      </c>
      <c r="G116" s="25" t="inlineStr">
        <is>
          <t>Q5 meublés</t>
        </is>
      </c>
      <c r="H116" s="25" t="inlineStr">
        <is>
          <t>haute</t>
        </is>
      </c>
    </row>
    <row r="117">
      <c r="A117" s="25" t="inlineStr">
        <is>
          <t>R3-33</t>
        </is>
      </c>
      <c r="B117" s="8" t="inlineStr">
        <is>
          <t>Service-public Entreprendre : Régime fiscal de la micro-entreprise (F23267, vérifié le 13/05/2026)</t>
        </is>
      </c>
      <c r="C117" s="25" t="inlineStr">
        <is>
          <t>https://entreprendre.service-public.gouv.fr/vosdroits/F23267</t>
        </is>
      </c>
      <c r="D117" s="25" t="inlineStr">
        <is>
          <t>site officiel administration</t>
        </is>
      </c>
      <c r="E117" s="25" t="inlineStr">
        <is>
          <t>2026-10-14</t>
        </is>
      </c>
      <c r="F117" s="25" t="inlineStr">
        <is>
          <t>page_lue</t>
        </is>
      </c>
      <c r="G117" s="25" t="inlineStr">
        <is>
          <t>Q5 micro-BIC</t>
        </is>
      </c>
      <c r="H117" s="25" t="inlineStr">
        <is>
          <t>haute</t>
        </is>
      </c>
    </row>
    <row r="118">
      <c r="A118" s="25" t="inlineStr">
        <is>
          <t>R3-34</t>
        </is>
      </c>
      <c r="B118" s="8" t="inlineStr">
        <is>
          <t>Service-public Entreprendre, actualité A17883 (26/11/2024, mise à jour 20/01/2025) : Locations touristiques, loi n° 2024-1039 du 19/11/2024</t>
        </is>
      </c>
      <c r="C118" s="25" t="inlineStr">
        <is>
          <t>https://entreprendre.service-public.gouv.fr/actualites/A17883</t>
        </is>
      </c>
      <c r="D118" s="25" t="inlineStr">
        <is>
          <t>site officiel administration</t>
        </is>
      </c>
      <c r="E118" s="25" t="inlineStr">
        <is>
          <t>2026-10-14</t>
        </is>
      </c>
      <c r="F118" s="25" t="inlineStr">
        <is>
          <t>page_lue</t>
        </is>
      </c>
      <c r="G118" s="25" t="inlineStr">
        <is>
          <t>Q5 meublés Le Meur</t>
        </is>
      </c>
      <c r="H118" s="25" t="inlineStr">
        <is>
          <t>haute</t>
        </is>
      </c>
    </row>
    <row r="119">
      <c r="A119" s="25" t="inlineStr">
        <is>
          <t>R3-35</t>
        </is>
      </c>
      <c r="B119" s="8" t="inlineStr">
        <is>
          <t>Service-public Entreprendre : Ouvrir une chambre d'hôtes (F17452, vérifié le 21/05/2026)</t>
        </is>
      </c>
      <c r="C119" s="25" t="inlineStr">
        <is>
          <t>https://entreprendre.service-public.gouv.fr/vosdroits/F17452</t>
        </is>
      </c>
      <c r="D119" s="25" t="inlineStr">
        <is>
          <t>site officiel administration</t>
        </is>
      </c>
      <c r="E119" s="25" t="inlineStr">
        <is>
          <t>2026-10-14</t>
        </is>
      </c>
      <c r="F119" s="25" t="inlineStr">
        <is>
          <t>page_lue</t>
        </is>
      </c>
      <c r="G119" s="25" t="inlineStr">
        <is>
          <t>Q5 chambres d'hôtes</t>
        </is>
      </c>
      <c r="H119" s="25" t="inlineStr">
        <is>
          <t>haute</t>
        </is>
      </c>
    </row>
    <row r="120">
      <c r="A120" s="25" t="inlineStr">
        <is>
          <t>R3-36</t>
        </is>
      </c>
      <c r="B120" s="8" t="inlineStr">
        <is>
          <t>Service-public : Impôt sur le revenu - Revenus d'une location meublée (F32744, vérifié le 15/04/2026)</t>
        </is>
      </c>
      <c r="C120" s="25" t="inlineStr">
        <is>
          <t>https://www.service-public.gouv.fr/particuliers/vosdroits/F32744</t>
        </is>
      </c>
      <c r="D120" s="25" t="inlineStr">
        <is>
          <t>site officiel administration</t>
        </is>
      </c>
      <c r="E120" s="25" t="inlineStr">
        <is>
          <t>2026-10-14</t>
        </is>
      </c>
      <c r="F120" s="25" t="inlineStr">
        <is>
          <t>page_lue</t>
        </is>
      </c>
      <c r="G120" s="25" t="inlineStr">
        <is>
          <t>Q5 LMNP</t>
        </is>
      </c>
      <c r="H120" s="25" t="inlineStr">
        <is>
          <t>haute</t>
        </is>
      </c>
    </row>
    <row r="121">
      <c r="A121" s="25" t="inlineStr">
        <is>
          <t>R3-37</t>
        </is>
      </c>
      <c r="B121" s="8" t="inlineStr">
        <is>
          <t>Service-public : Impôt sur le revenu - Plus-value immobilière (F10864)</t>
        </is>
      </c>
      <c r="C121" s="25" t="inlineStr">
        <is>
          <t>https://www.service-public.gouv.fr/particuliers/vosdroits/F10864</t>
        </is>
      </c>
      <c r="D121" s="25" t="inlineStr">
        <is>
          <t>site officiel administration</t>
        </is>
      </c>
      <c r="E121" s="25" t="inlineStr">
        <is>
          <t>2026-10-14</t>
        </is>
      </c>
      <c r="F121" s="25" t="inlineStr">
        <is>
          <t>page_lue</t>
        </is>
      </c>
      <c r="G121" s="25" t="inlineStr">
        <is>
          <t>Q5 LMNP plus-value</t>
        </is>
      </c>
      <c r="H121" s="25" t="inlineStr">
        <is>
          <t>haute</t>
        </is>
      </c>
    </row>
    <row r="122">
      <c r="A122" s="25" t="inlineStr">
        <is>
          <t>R3-38</t>
        </is>
      </c>
      <c r="B122" s="8" t="inlineStr">
        <is>
          <t>Service-public Entreprendre : Qu'est-ce qu'un établissement recevant du public (ERP) ? (F32351, vérifié le 26/09/2025)</t>
        </is>
      </c>
      <c r="C122" s="25" t="inlineStr">
        <is>
          <t>https://entreprendre.service-public.gouv.fr/vosdroits/F32351</t>
        </is>
      </c>
      <c r="D122" s="25" t="inlineStr">
        <is>
          <t>site officiel administration</t>
        </is>
      </c>
      <c r="E122" s="25" t="inlineStr">
        <is>
          <t>2026-10-14</t>
        </is>
      </c>
      <c r="F122" s="25" t="inlineStr">
        <is>
          <t>page_lue</t>
        </is>
      </c>
      <c r="G122" s="25" t="inlineStr">
        <is>
          <t>Q8 ERP</t>
        </is>
      </c>
      <c r="H122" s="25" t="inlineStr">
        <is>
          <t>haute</t>
        </is>
      </c>
    </row>
    <row r="123">
      <c r="A123" s="25" t="inlineStr">
        <is>
          <t>R3-39</t>
        </is>
      </c>
      <c r="B123" s="8" t="inlineStr">
        <is>
          <t>Service-public Entreprendre : Règles de sécurité incendie d'un ERP (F31684, vérifié le 30/04/2025)</t>
        </is>
      </c>
      <c r="C123" s="25" t="inlineStr">
        <is>
          <t>https://entreprendre.service-public.gouv.fr/vosdroits/F31684</t>
        </is>
      </c>
      <c r="D123" s="25" t="inlineStr">
        <is>
          <t>site officiel administration</t>
        </is>
      </c>
      <c r="E123" s="25" t="inlineStr">
        <is>
          <t>2026-10-14</t>
        </is>
      </c>
      <c r="F123" s="25" t="inlineStr">
        <is>
          <t>page_lue</t>
        </is>
      </c>
      <c r="G123" s="25" t="inlineStr">
        <is>
          <t>Q8 ERP</t>
        </is>
      </c>
      <c r="H123" s="25" t="inlineStr">
        <is>
          <t>haute</t>
        </is>
      </c>
    </row>
    <row r="124">
      <c r="A124" s="25" t="inlineStr">
        <is>
          <t>R3-40</t>
        </is>
      </c>
      <c r="B124" s="8" t="inlineStr">
        <is>
          <t>Service-public Entreprendre : Accessibilité d'un établissement recevant du public (ERP) (F32873, vérifié le 28/11/2025)</t>
        </is>
      </c>
      <c r="C124" s="25" t="inlineStr">
        <is>
          <t>https://entreprendre.service-public.gouv.fr/vosdroits/F32873</t>
        </is>
      </c>
      <c r="D124" s="25" t="inlineStr">
        <is>
          <t>site officiel administration</t>
        </is>
      </c>
      <c r="E124" s="25" t="inlineStr">
        <is>
          <t>2026-10-14</t>
        </is>
      </c>
      <c r="F124" s="25" t="inlineStr">
        <is>
          <t>page_lue</t>
        </is>
      </c>
      <c r="G124" s="25" t="inlineStr">
        <is>
          <t>Q8 accessibilité</t>
        </is>
      </c>
      <c r="H124" s="25" t="inlineStr">
        <is>
          <t>haute</t>
        </is>
      </c>
    </row>
    <row r="125">
      <c r="A125" s="25" t="inlineStr">
        <is>
          <t>R3-41</t>
        </is>
      </c>
      <c r="B125" s="8" t="inlineStr">
        <is>
          <t>Service-public : Peut-on construire ou aménager un terrain en zone agricole ? (F924, vérifié le 11/04/2025)</t>
        </is>
      </c>
      <c r="C125" s="25" t="inlineStr">
        <is>
          <t>https://www.service-public.gouv.fr/particuliers/vosdroits/F924</t>
        </is>
      </c>
      <c r="D125" s="25" t="inlineStr">
        <is>
          <t>site officiel administration</t>
        </is>
      </c>
      <c r="E125" s="25" t="inlineStr">
        <is>
          <t>2026-10-14</t>
        </is>
      </c>
      <c r="F125" s="25" t="inlineStr">
        <is>
          <t>page_lue</t>
        </is>
      </c>
      <c r="G125" s="25" t="inlineStr">
        <is>
          <t>Q8 urbanisme</t>
        </is>
      </c>
      <c r="H125" s="25" t="inlineStr">
        <is>
          <t>haute</t>
        </is>
      </c>
    </row>
    <row r="126">
      <c r="A126" s="25" t="inlineStr">
        <is>
          <t>R3-42</t>
        </is>
      </c>
      <c r="B126" s="8" t="inlineStr">
        <is>
          <t>Service-public Entreprendre : Mécénat d'entreprise : dons en faveur d'organismes sans but lucratif (F22263, vérifié le 20/07/2026)</t>
        </is>
      </c>
      <c r="C126" s="25" t="inlineStr">
        <is>
          <t>https://entreprendre.service-public.gouv.fr/vosdroits/F22263</t>
        </is>
      </c>
      <c r="D126" s="25" t="inlineStr">
        <is>
          <t>site officiel administration</t>
        </is>
      </c>
      <c r="E126" s="25" t="inlineStr">
        <is>
          <t>2026-10-14</t>
        </is>
      </c>
      <c r="F126" s="25" t="inlineStr">
        <is>
          <t>page_lue</t>
        </is>
      </c>
      <c r="G126" s="25" t="inlineStr">
        <is>
          <t>Q4 mécénat entreprise</t>
        </is>
      </c>
      <c r="H126" s="25" t="inlineStr">
        <is>
          <t>haute</t>
        </is>
      </c>
    </row>
    <row r="127">
      <c r="A127" s="25" t="inlineStr">
        <is>
          <t>R3-43</t>
        </is>
      </c>
      <c r="B127" s="8" t="inlineStr">
        <is>
          <t>BOFiP BOI-IR-RICI-250-10-10-20170510 : dons des particuliers, conditions générales (intérêt général, cercle restreint)</t>
        </is>
      </c>
      <c r="C127" s="25" t="inlineStr">
        <is>
          <t>https://bofip.impots.gouv.fr/bofip/5825-PGP</t>
        </is>
      </c>
      <c r="D127" s="25" t="inlineStr">
        <is>
          <t>doctrine fiscale officielle</t>
        </is>
      </c>
      <c r="E127" s="25" t="inlineStr">
        <is>
          <t>2026-10-14</t>
        </is>
      </c>
      <c r="F127" s="25" t="inlineStr">
        <is>
          <t>page_lue</t>
        </is>
      </c>
      <c r="G127" s="25" t="inlineStr">
        <is>
          <t>Q4 mécénat, fonds de dotation</t>
        </is>
      </c>
      <c r="H127" s="25" t="inlineStr">
        <is>
          <t>haute</t>
        </is>
      </c>
    </row>
    <row r="128">
      <c r="A128" s="25" t="inlineStr">
        <is>
          <t>R3-44</t>
        </is>
      </c>
      <c r="B128" s="8" t="inlineStr">
        <is>
          <t>Eurojuris (F. Maillard, cabinet 1927 Avocats, 13/05/2024) : décret n° 2024-318 du 8 avril 2024 sur l'agrivoltaïsme</t>
        </is>
      </c>
      <c r="C128" s="25" t="inlineStr">
        <is>
          <t>https://www.eurojuris.fr/categories/environnement-10300/articles/devret-installations-agrivoltaisme-42454.htm</t>
        </is>
      </c>
      <c r="D128" s="25" t="inlineStr">
        <is>
          <t>réseau d'avocats</t>
        </is>
      </c>
      <c r="E128" s="25" t="inlineStr">
        <is>
          <t>2026-10-14</t>
        </is>
      </c>
      <c r="F128" s="25" t="inlineStr">
        <is>
          <t>page_lue</t>
        </is>
      </c>
      <c r="G128" s="25" t="inlineStr">
        <is>
          <t>Q8 agrivoltaïsme</t>
        </is>
      </c>
      <c r="H128" s="25" t="inlineStr">
        <is>
          <t>moyenne</t>
        </is>
      </c>
    </row>
    <row r="129">
      <c r="A129" s="25" t="inlineStr">
        <is>
          <t>R3-45</t>
        </is>
      </c>
      <c r="B129" s="8" t="inlineStr">
        <is>
          <t>Eurojuris (L. Bézie, 06/11/2013) : Le bail rural et les activités équestres</t>
        </is>
      </c>
      <c r="C129" s="25" t="inlineStr">
        <is>
          <t>https://www.eurojuris.fr/actualites-juridiques/actualites-juridiques-entreprises/droit-gestion-entreprise/droit-construction-immobilier/articles/bail-rural-activites-equestres-1252.htm</t>
        </is>
      </c>
      <c r="D129" s="25" t="inlineStr">
        <is>
          <t>réseau d'avocats</t>
        </is>
      </c>
      <c r="E129" s="25" t="inlineStr">
        <is>
          <t>2026-10-14</t>
        </is>
      </c>
      <c r="F129" s="25" t="inlineStr">
        <is>
          <t>page_lue</t>
        </is>
      </c>
      <c r="G129" s="25" t="inlineStr">
        <is>
          <t>Q7 bail rural</t>
        </is>
      </c>
      <c r="H129" s="25" t="inlineStr">
        <is>
          <t>moyenne</t>
        </is>
      </c>
    </row>
    <row r="130">
      <c r="A130" s="25" t="inlineStr">
        <is>
          <t>R3-46</t>
        </is>
      </c>
      <c r="B130" s="8" t="inlineStr">
        <is>
          <t>Le Monde du Droit (06/07/2009) : Cass. 3e civ., 13 mai 2009, n° 08-16.421 : l'activité de gardiennage de chevaux ne relève pas du statut des baux ruraux</t>
        </is>
      </c>
      <c r="C130" s="25" t="inlineStr">
        <is>
          <t>https://www.lemondedudroit.fr/affaires/275-baux-commerciaux/26774-lactivite-de-gardiennage-de-chevaux-ne-releve-pas-du-statut-des-baux-ruraux.html</t>
        </is>
      </c>
      <c r="D130" s="25" t="inlineStr">
        <is>
          <t>presse juridique</t>
        </is>
      </c>
      <c r="E130" s="25" t="inlineStr">
        <is>
          <t>2026-10-14</t>
        </is>
      </c>
      <c r="F130" s="25" t="inlineStr">
        <is>
          <t>page_lue</t>
        </is>
      </c>
      <c r="G130" s="25" t="inlineStr">
        <is>
          <t>Q7 bail rural</t>
        </is>
      </c>
      <c r="H130" s="25" t="inlineStr">
        <is>
          <t>moyenne</t>
        </is>
      </c>
    </row>
    <row r="131">
      <c r="A131" s="25" t="inlineStr">
        <is>
          <t>R3-47</t>
        </is>
      </c>
      <c r="B131" s="8" t="inlineStr">
        <is>
          <t>Doctrine.fr : CA Amiens, 6 décembre 2016 (confirmation d'un jugement du tribunal paritaire de Senlis, requalification portant sur 14 boxes, une sellerie et un paddock) — vu en résultat de recherche</t>
        </is>
      </c>
      <c r="C131" s="25" t="inlineStr">
        <is>
          <t>https://www.doctrine.fr/d/CA/Amiens/2016/C02FDF2E7E57DAA8A3C38</t>
        </is>
      </c>
      <c r="D131" s="25" t="inlineStr">
        <is>
          <t>base de jurisprudence</t>
        </is>
      </c>
      <c r="E131" s="25" t="inlineStr">
        <is>
          <t>2026-10-14</t>
        </is>
      </c>
      <c r="F131" s="25" t="inlineStr">
        <is>
          <t>extrait</t>
        </is>
      </c>
      <c r="G131" s="25" t="inlineStr">
        <is>
          <t>Q7 bail rural</t>
        </is>
      </c>
      <c r="H131" s="25" t="inlineStr">
        <is>
          <t>moyenne</t>
        </is>
      </c>
    </row>
    <row r="132">
      <c r="A132" s="25" t="inlineStr">
        <is>
          <t>R3-48</t>
        </is>
      </c>
      <c r="B132" s="8" t="inlineStr">
        <is>
          <t>Assemblée nationale, question écrite n° 31336 (Y. Braun-Pivet) et réponse du ministère de la Justice (JO 03/11/2020) : sous-location des boxes d'écuries dans le cadre du bail rural (PDF, texte extrait)</t>
        </is>
      </c>
      <c r="C132" s="25" t="inlineStr">
        <is>
          <t>https://questions.assemblee-nationale.fr/dyn/15/questions/QANR5L15QE31336.pdf</t>
        </is>
      </c>
      <c r="D132" s="25" t="inlineStr">
        <is>
          <t>réponse ministérielle</t>
        </is>
      </c>
      <c r="E132" s="25" t="inlineStr">
        <is>
          <t>2026-10-14</t>
        </is>
      </c>
      <c r="F132" s="25" t="inlineStr">
        <is>
          <t>page_lue</t>
        </is>
      </c>
      <c r="G132" s="25" t="inlineStr">
        <is>
          <t>Q7 bail rural</t>
        </is>
      </c>
      <c r="H132" s="25" t="inlineStr">
        <is>
          <t>haute</t>
        </is>
      </c>
    </row>
    <row r="133">
      <c r="A133" s="25" t="inlineStr">
        <is>
          <t>R3-49</t>
        </is>
      </c>
      <c r="B133" s="8" t="inlineStr">
        <is>
          <t>Service-public : Demande d'autorisation spéciale de travaux en abords de monuments historiques ou dans un site patrimonial remarquable (cerfa 16291*01, R65385, vérifié le 12/06/2026)</t>
        </is>
      </c>
      <c r="C133" s="25" t="inlineStr">
        <is>
          <t>https://www.service-public.gouv.fr/particuliers/vosdroits/R65385</t>
        </is>
      </c>
      <c r="D133" s="25" t="inlineStr">
        <is>
          <t>site officiel administration</t>
        </is>
      </c>
      <c r="E133" s="25" t="inlineStr">
        <is>
          <t>2026-10-14</t>
        </is>
      </c>
      <c r="F133" s="25" t="inlineStr">
        <is>
          <t>page_lue</t>
        </is>
      </c>
      <c r="G133" s="25" t="inlineStr">
        <is>
          <t>Q8 abords</t>
        </is>
      </c>
      <c r="H133" s="25" t="inlineStr">
        <is>
          <t>haute</t>
        </is>
      </c>
    </row>
    <row r="134">
      <c r="A134" s="25" t="inlineStr">
        <is>
          <t>R3-50</t>
        </is>
      </c>
      <c r="B134" s="8" t="inlineStr">
        <is>
          <t>Ministère de la Culture : Protéger des immeubles au titre des monuments historiques (effets de la protection)</t>
        </is>
      </c>
      <c r="C134" s="25" t="inlineStr">
        <is>
          <t>https://www.culture.gouv.fr/Thematiques/Monuments-Sites/Interventions-demarches/Proteger-un-objet-un-immeuble-un-espace/Proteger-des-immeubles-au-titre-des-monuments-historiques</t>
        </is>
      </c>
      <c r="D134" s="25" t="inlineStr">
        <is>
          <t>site officiel ministère</t>
        </is>
      </c>
      <c r="E134" s="25" t="inlineStr">
        <is>
          <t>2026-10-14</t>
        </is>
      </c>
      <c r="F134" s="25" t="inlineStr">
        <is>
          <t>page_lue</t>
        </is>
      </c>
      <c r="G134" s="25" t="inlineStr">
        <is>
          <t>Q8 travaux MH</t>
        </is>
      </c>
      <c r="H134" s="25" t="inlineStr">
        <is>
          <t>haute</t>
        </is>
      </c>
    </row>
    <row r="135">
      <c r="A135" s="25" t="inlineStr">
        <is>
          <t>R3-51</t>
        </is>
      </c>
      <c r="B135" s="8" t="inlineStr">
        <is>
          <t>Ministère de la Culture : Les abords des monuments historiques</t>
        </is>
      </c>
      <c r="C135" s="25" t="inlineStr">
        <is>
          <t>https://www.culture.gouv.fr/thematiques/monuments-sites/monuments-historiques-sites-patrimoniaux/les-abords-des-monuments-historiques</t>
        </is>
      </c>
      <c r="D135" s="25" t="inlineStr">
        <is>
          <t>site officiel ministère</t>
        </is>
      </c>
      <c r="E135" s="25" t="inlineStr">
        <is>
          <t>2026-10-14</t>
        </is>
      </c>
      <c r="F135" s="25" t="inlineStr">
        <is>
          <t>page_lue</t>
        </is>
      </c>
      <c r="G135" s="25" t="inlineStr">
        <is>
          <t>Q8 abords</t>
        </is>
      </c>
      <c r="H135" s="25" t="inlineStr">
        <is>
          <t>haute</t>
        </is>
      </c>
    </row>
    <row r="136">
      <c r="A136" s="25" t="inlineStr">
        <is>
          <t>R3-52</t>
        </is>
      </c>
      <c r="B136" s="8" t="inlineStr">
        <is>
          <t>DGS et DGPR (N. Commeau, D. Ollandini), présentation CidB du 05/12/2018 : décret n° 2017-1244 du 7 août 2017 relatif aux bruits et sons amplifiés (PDF, texte extrait)</t>
        </is>
      </c>
      <c r="C136" s="25" t="inlineStr">
        <is>
          <t>https://www.bruit.fr/images/pdf/rennes-5-decembre-2018/commeau-ollandini-cidb-sons-amplifies.pdf</t>
        </is>
      </c>
      <c r="D136" s="25" t="inlineStr">
        <is>
          <t>présentation officielle des ministères (Santé, Écologie)</t>
        </is>
      </c>
      <c r="E136" s="25" t="inlineStr">
        <is>
          <t>2026-10-14</t>
        </is>
      </c>
      <c r="F136" s="25" t="inlineStr">
        <is>
          <t>page_lue</t>
        </is>
      </c>
      <c r="G136" s="25" t="inlineStr">
        <is>
          <t>Q8 bruit</t>
        </is>
      </c>
      <c r="H136" s="25" t="inlineStr">
        <is>
          <t>haute</t>
        </is>
      </c>
    </row>
    <row r="137">
      <c r="A137" s="25" t="inlineStr">
        <is>
          <t>R3-53</t>
        </is>
      </c>
      <c r="B137" s="8" t="inlineStr">
        <is>
          <t>Seban Avocats (09/11/2017) : Reconnaissance de la puissance fondée en titre d'une microcentrale hydroélectrique (CAA Nantes, 29/09/2017, n° 16NT00251)</t>
        </is>
      </c>
      <c r="C137" s="25" t="inlineStr">
        <is>
          <t>https://www.seban-associes.avocat.fr/?p=89263</t>
        </is>
      </c>
      <c r="D137" s="25" t="inlineStr">
        <is>
          <t>cabinet d'avocats</t>
        </is>
      </c>
      <c r="E137" s="25" t="inlineStr">
        <is>
          <t>2026-10-14</t>
        </is>
      </c>
      <c r="F137" s="25" t="inlineStr">
        <is>
          <t>page_lue</t>
        </is>
      </c>
      <c r="G137" s="25" t="inlineStr">
        <is>
          <t>Q8 hydro</t>
        </is>
      </c>
      <c r="H137" s="25" t="inlineStr">
        <is>
          <t>moyenne</t>
        </is>
      </c>
    </row>
    <row r="138">
      <c r="A138" s="25" t="inlineStr">
        <is>
          <t>R3-54</t>
        </is>
      </c>
      <c r="B138" s="8" t="inlineStr">
        <is>
          <t>Doctrine.fr : TA Poitiers, 26 décembre 2024 (moulin de Villégats : puissance fondée en titre fixée à 39 kW au lieu de 273 kW demandés) — vu en résultat de recherche</t>
        </is>
      </c>
      <c r="C138" s="25" t="inlineStr">
        <is>
          <t>https://www.doctrine.fr/d/TA/Poitiers/2024/TAC30BB68CA06C3535E01D</t>
        </is>
      </c>
      <c r="D138" s="25" t="inlineStr">
        <is>
          <t>base de jurisprudence</t>
        </is>
      </c>
      <c r="E138" s="25" t="inlineStr">
        <is>
          <t>2026-10-14</t>
        </is>
      </c>
      <c r="F138" s="25" t="inlineStr">
        <is>
          <t>extrait</t>
        </is>
      </c>
      <c r="G138" s="25" t="inlineStr">
        <is>
          <t>Q8 hydro</t>
        </is>
      </c>
      <c r="H138" s="25" t="inlineStr">
        <is>
          <t>moyenne</t>
        </is>
      </c>
    </row>
    <row r="139">
      <c r="A139" s="25" t="inlineStr">
        <is>
          <t>R3-55</t>
        </is>
      </c>
      <c r="B139" s="8" t="inlineStr">
        <is>
          <t>BOFiP BOI-RFPI-CHAMP-30-20-20200812 : revenus fonciers, sociétés (logements mis gratuitement à disposition des associés)</t>
        </is>
      </c>
      <c r="C139" s="25" t="inlineStr">
        <is>
          <t>https://bofip.impots.gouv.fr/bofip/1237-PGP.html/identifiant=BOI-RFPI-CHAMP-30-20-20200812</t>
        </is>
      </c>
      <c r="D139" s="25" t="inlineStr">
        <is>
          <t>doctrine fiscale officielle</t>
        </is>
      </c>
      <c r="E139" s="25" t="inlineStr">
        <is>
          <t>2026-10-14</t>
        </is>
      </c>
      <c r="F139" s="25" t="inlineStr">
        <is>
          <t>page_lue</t>
        </is>
      </c>
      <c r="G139" s="25" t="inlineStr">
        <is>
          <t>Q9 occupation privée</t>
        </is>
      </c>
      <c r="H139" s="25" t="inlineStr">
        <is>
          <t>haute</t>
        </is>
      </c>
    </row>
    <row r="140">
      <c r="A140" s="25" t="inlineStr">
        <is>
          <t>R3-56</t>
        </is>
      </c>
      <c r="B140" s="8" t="inlineStr">
        <is>
          <t>BOFiP BOI-RPPM-RCM-10-20-20-10-20120912 : revenus distribués, avantages accordés aux associés (acte anormal de gestion)</t>
        </is>
      </c>
      <c r="C140" s="25" t="inlineStr">
        <is>
          <t>https://bofip.impots.gouv.fr/bofip/2362-PGP</t>
        </is>
      </c>
      <c r="D140" s="25" t="inlineStr">
        <is>
          <t>doctrine fiscale officielle</t>
        </is>
      </c>
      <c r="E140" s="25" t="inlineStr">
        <is>
          <t>2026-10-14</t>
        </is>
      </c>
      <c r="F140" s="25" t="inlineStr">
        <is>
          <t>page_lue</t>
        </is>
      </c>
      <c r="G140" s="25" t="inlineStr">
        <is>
          <t>Q9 occupation privée</t>
        </is>
      </c>
      <c r="H140" s="25" t="inlineStr">
        <is>
          <t>haute</t>
        </is>
      </c>
    </row>
    <row r="141">
      <c r="A141" s="25" t="inlineStr">
        <is>
          <t>R3-57</t>
        </is>
      </c>
      <c r="B141" s="8" t="inlineStr">
        <is>
          <t>Service-public Entreprendre : Revenus du dirigeant d'une société (F36065, « Vérifié le 26 avril 2024 » mais contenu mentionnant le PFU à 31,4 %)</t>
        </is>
      </c>
      <c r="C141" s="25" t="inlineStr">
        <is>
          <t>https://entreprendre.service-public.gouv.fr/vosdroits/F36065</t>
        </is>
      </c>
      <c r="D141" s="25" t="inlineStr">
        <is>
          <t>site officiel administration</t>
        </is>
      </c>
      <c r="E141" s="25" t="inlineStr">
        <is>
          <t>2026-10-14</t>
        </is>
      </c>
      <c r="F141" s="25" t="inlineStr">
        <is>
          <t>page_lue</t>
        </is>
      </c>
      <c r="G141" s="25" t="inlineStr">
        <is>
          <t>Q9 Q5 dirigeant, dividendes</t>
        </is>
      </c>
      <c r="H141" s="25" t="inlineStr">
        <is>
          <t>haute</t>
        </is>
      </c>
    </row>
    <row r="142">
      <c r="A142" s="25" t="inlineStr">
        <is>
          <t>R3-58</t>
        </is>
      </c>
      <c r="B142" s="8" t="inlineStr">
        <is>
          <t>Service-public : Fonds de dotation (F24469, vérifié le 18/06/2025)</t>
        </is>
      </c>
      <c r="C142" s="25" t="inlineStr">
        <is>
          <t>https://www.service-public.gouv.fr/particuliers/vosdroits/F24469</t>
        </is>
      </c>
      <c r="D142" s="25" t="inlineStr">
        <is>
          <t>site officiel administration</t>
        </is>
      </c>
      <c r="E142" s="25" t="inlineStr">
        <is>
          <t>2026-10-14</t>
        </is>
      </c>
      <c r="F142" s="25" t="inlineStr">
        <is>
          <t>page_lue</t>
        </is>
      </c>
      <c r="G142" s="25" t="inlineStr">
        <is>
          <t>Q4 fonds de dotation</t>
        </is>
      </c>
      <c r="H142" s="25" t="inlineStr">
        <is>
          <t>haute</t>
        </is>
      </c>
    </row>
    <row r="143">
      <c r="A143" s="25" t="inlineStr">
        <is>
          <t>R3-59</t>
        </is>
      </c>
      <c r="B143" s="8" t="inlineStr">
        <is>
          <t>Service-public Entreprendre : Société civile immobilière (SCI) : ce qu'il faut savoir (F38553, vérifié le 07/10/2025)</t>
        </is>
      </c>
      <c r="C143" s="25" t="inlineStr">
        <is>
          <t>https://entreprendre.service-public.gouv.fr/vosdroits/F38553</t>
        </is>
      </c>
      <c r="D143" s="25" t="inlineStr">
        <is>
          <t>site officiel administration</t>
        </is>
      </c>
      <c r="E143" s="25" t="inlineStr">
        <is>
          <t>2026-10-14</t>
        </is>
      </c>
      <c r="F143" s="25" t="inlineStr">
        <is>
          <t>page_lue</t>
        </is>
      </c>
      <c r="G143" s="25" t="inlineStr">
        <is>
          <t>Q5 SCI, Q9</t>
        </is>
      </c>
      <c r="H143" s="25" t="inlineStr">
        <is>
          <t>haute</t>
        </is>
      </c>
    </row>
    <row r="144">
      <c r="A144" s="25" t="inlineStr">
        <is>
          <t>R3-60</t>
        </is>
      </c>
      <c r="B144" s="8" t="inlineStr">
        <is>
          <t>Service-public Entreprendre : Aide à l'embauche de travailleurs saisonniers agricoles (TO-DE) (F31205, vérifié le 23/12/2025)</t>
        </is>
      </c>
      <c r="C144" s="25" t="inlineStr">
        <is>
          <t>https://entreprendre.service-public.gouv.fr/vosdroits/F31205</t>
        </is>
      </c>
      <c r="D144" s="25" t="inlineStr">
        <is>
          <t>site officiel administration</t>
        </is>
      </c>
      <c r="E144" s="25" t="inlineStr">
        <is>
          <t>2026-10-14</t>
        </is>
      </c>
      <c r="F144" s="25" t="inlineStr">
        <is>
          <t>page_lue</t>
        </is>
      </c>
      <c r="G144" s="25" t="inlineStr">
        <is>
          <t>Q10 droit du travail</t>
        </is>
      </c>
      <c r="H144" s="25" t="inlineStr">
        <is>
          <t>haute</t>
        </is>
      </c>
    </row>
    <row r="145">
      <c r="A145" s="25" t="inlineStr">
        <is>
          <t>R3-61</t>
        </is>
      </c>
      <c r="B145" s="8" t="inlineStr">
        <is>
          <t>BOFiP BOI-IS-BASE-10-10-10-10 (version du 26/06/2024) : régime des sociétés mères et filiales, quote-part de frais et charges</t>
        </is>
      </c>
      <c r="C145" s="25" t="inlineStr">
        <is>
          <t>https://bofip.impots.gouv.fr/bofip/1924-PGP</t>
        </is>
      </c>
      <c r="D145" s="25" t="inlineStr">
        <is>
          <t>doctrine fiscale officielle</t>
        </is>
      </c>
      <c r="E145" s="25" t="inlineStr">
        <is>
          <t>2026-10-14</t>
        </is>
      </c>
      <c r="F145" s="25" t="inlineStr">
        <is>
          <t>page_lue</t>
        </is>
      </c>
      <c r="G145" s="25" t="inlineStr">
        <is>
          <t>Q5 mère-fille</t>
        </is>
      </c>
      <c r="H145" s="25" t="inlineStr">
        <is>
          <t>haute</t>
        </is>
      </c>
    </row>
    <row r="146">
      <c r="A146" s="25" t="inlineStr">
        <is>
          <t>R3-62</t>
        </is>
      </c>
      <c r="B146" s="8" t="inlineStr">
        <is>
          <t>BOFiP BOI-BIC-PVMV-30-10-20170503 : suppression de la condition de droits de vote du régime mère-fille depuis le 03/02/2016 — vu en résultat de recherche</t>
        </is>
      </c>
      <c r="C146" s="25" t="inlineStr">
        <is>
          <t>https://bofip.impots.gouv.fr/bofip/6356-PGP.html/identifiant=BOI-BIC-PVMV-30-10-20170503</t>
        </is>
      </c>
      <c r="D146" s="25" t="inlineStr">
        <is>
          <t>doctrine fiscale officielle</t>
        </is>
      </c>
      <c r="E146" s="25" t="inlineStr">
        <is>
          <t>2026-10-14</t>
        </is>
      </c>
      <c r="F146" s="25" t="inlineStr">
        <is>
          <t>extrait</t>
        </is>
      </c>
      <c r="G146" s="25" t="inlineStr">
        <is>
          <t>Q5 mère-fille</t>
        </is>
      </c>
      <c r="H146" s="25" t="inlineStr">
        <is>
          <t>moyenne</t>
        </is>
      </c>
    </row>
    <row r="147">
      <c r="A147" s="25" t="inlineStr">
        <is>
          <t>R3-63</t>
        </is>
      </c>
      <c r="B147" s="8" t="inlineStr">
        <is>
          <t>Service-public : Faut-il une autorisation d'urbanisme pour poser des ombrières photovoltaïques ou des panneaux solaires au sol ? (F31923, vérifié le 17/01/2025)</t>
        </is>
      </c>
      <c r="C147" s="25" t="inlineStr">
        <is>
          <t>https://www.service-public.gouv.fr/particuliers/vosdroits/F31923</t>
        </is>
      </c>
      <c r="D147" s="25" t="inlineStr">
        <is>
          <t>site officiel administration</t>
        </is>
      </c>
      <c r="E147" s="25" t="inlineStr">
        <is>
          <t>2026-10-14</t>
        </is>
      </c>
      <c r="F147" s="25" t="inlineStr">
        <is>
          <t>page_lue</t>
        </is>
      </c>
      <c r="G147" s="25" t="inlineStr">
        <is>
          <t>Q8 photovoltaïque, secteurs protégés</t>
        </is>
      </c>
      <c r="H147" s="25" t="inlineStr">
        <is>
          <t>haute</t>
        </is>
      </c>
    </row>
    <row r="148">
      <c r="A148" s="25" t="inlineStr">
        <is>
          <t>R4-01</t>
        </is>
      </c>
      <c r="B148" s="8" t="inlineStr">
        <is>
          <t>API Recherche d'entreprises (annuaire-entreprises, État) - requête « chateau de chenonceau »</t>
        </is>
      </c>
      <c r="C148" s="25" t="inlineStr">
        <is>
          <t>https://recherche-entreprises.api.gouv.fr/search?q=chateau%20de%20chenonceau&amp;per_page=5</t>
        </is>
      </c>
      <c r="D148" s="25" t="inlineStr">
        <is>
          <t>registre officiel (API data.gouv)</t>
        </is>
      </c>
      <c r="E148" s="25" t="inlineStr">
        <is>
          <t>2026-10-14</t>
        </is>
      </c>
      <c r="F148" s="25" t="inlineStr">
        <is>
          <t>page_lue</t>
        </is>
      </c>
      <c r="G148" s="25" t="inlineStr">
        <is>
          <t>Cas Chenonceau</t>
        </is>
      </c>
      <c r="H148" s="25" t="inlineStr">
        <is>
          <t>haute</t>
        </is>
      </c>
    </row>
    <row r="149">
      <c r="A149" s="25" t="inlineStr">
        <is>
          <t>R4-02</t>
        </is>
      </c>
      <c r="B149" s="8" t="inlineStr">
        <is>
          <t>API Recherche d'entreprises - requête « vaux le vicomte »</t>
        </is>
      </c>
      <c r="C149" s="25" t="inlineStr">
        <is>
          <t>https://recherche-entreprises.api.gouv.fr/search?q=vaux%20le%20vicomte&amp;per_page=10</t>
        </is>
      </c>
      <c r="D149" s="25" t="inlineStr">
        <is>
          <t>registre officiel (API data.gouv)</t>
        </is>
      </c>
      <c r="E149" s="25" t="inlineStr">
        <is>
          <t>2026-10-14</t>
        </is>
      </c>
      <c r="F149" s="25" t="inlineStr">
        <is>
          <t>page_lue</t>
        </is>
      </c>
      <c r="G149" s="25" t="inlineStr">
        <is>
          <t>Cas Vaux-le-Vicomte</t>
        </is>
      </c>
      <c r="H149" s="25" t="inlineStr">
        <is>
          <t>haute</t>
        </is>
      </c>
    </row>
    <row r="150">
      <c r="A150" s="25" t="inlineStr">
        <is>
          <t>R4-03</t>
        </is>
      </c>
      <c r="B150" s="8" t="inlineStr">
        <is>
          <t>API Recherche d'entreprises - requête « chateau de cheverny »</t>
        </is>
      </c>
      <c r="C150" s="25" t="inlineStr">
        <is>
          <t>https://recherche-entreprises.api.gouv.fr/search?q=chateau%20de%20cheverny&amp;per_page=10</t>
        </is>
      </c>
      <c r="D150" s="25" t="inlineStr">
        <is>
          <t>registre officiel (API data.gouv)</t>
        </is>
      </c>
      <c r="E150" s="25" t="inlineStr">
        <is>
          <t>2026-10-14</t>
        </is>
      </c>
      <c r="F150" s="25" t="inlineStr">
        <is>
          <t>page_lue</t>
        </is>
      </c>
      <c r="G150" s="25" t="inlineStr">
        <is>
          <t>Cas Cheverny</t>
        </is>
      </c>
      <c r="H150" s="25" t="inlineStr">
        <is>
          <t>haute</t>
        </is>
      </c>
    </row>
    <row r="151">
      <c r="A151" s="25" t="inlineStr">
        <is>
          <t>R4-04</t>
        </is>
      </c>
      <c r="B151" s="8" t="inlineStr">
        <is>
          <t>API Recherche d'entreprises - requête « chateau de villandry »</t>
        </is>
      </c>
      <c r="C151" s="25" t="inlineStr">
        <is>
          <t>https://recherche-entreprises.api.gouv.fr/search?q=chateau%20de%20villandry&amp;per_page=10</t>
        </is>
      </c>
      <c r="D151" s="25" t="inlineStr">
        <is>
          <t>registre officiel (API data.gouv)</t>
        </is>
      </c>
      <c r="E151" s="25" t="inlineStr">
        <is>
          <t>2026-10-14</t>
        </is>
      </c>
      <c r="F151" s="25" t="inlineStr">
        <is>
          <t>page_lue</t>
        </is>
      </c>
      <c r="G151" s="25" t="inlineStr">
        <is>
          <t>Cas Villandry</t>
        </is>
      </c>
      <c r="H151" s="25" t="inlineStr">
        <is>
          <t>haute</t>
        </is>
      </c>
    </row>
    <row r="152">
      <c r="A152" s="25" t="inlineStr">
        <is>
          <t>R4-05</t>
        </is>
      </c>
      <c r="B152" s="8" t="inlineStr">
        <is>
          <t>API Recherche d'entreprises - requête « chenonceau »</t>
        </is>
      </c>
      <c r="C152" s="25" t="inlineStr">
        <is>
          <t>https://recherche-entreprises.api.gouv.fr/search?q=chenonceau&amp;per_page=10</t>
        </is>
      </c>
      <c r="D152" s="25" t="inlineStr">
        <is>
          <t>registre officiel (API data.gouv)</t>
        </is>
      </c>
      <c r="E152" s="25" t="inlineStr">
        <is>
          <t>2026-10-14</t>
        </is>
      </c>
      <c r="F152" s="25" t="inlineStr">
        <is>
          <t>page_lue</t>
        </is>
      </c>
      <c r="G152" s="25" t="inlineStr">
        <is>
          <t>Cas Chenonceau</t>
        </is>
      </c>
      <c r="H152" s="25" t="inlineStr">
        <is>
          <t>haute</t>
        </is>
      </c>
    </row>
    <row r="153">
      <c r="A153" s="25" t="inlineStr">
        <is>
          <t>R4-06</t>
        </is>
      </c>
      <c r="B153" s="8" t="inlineStr">
        <is>
          <t>API Recherche d'entreprises - requête « chateau de brissac »</t>
        </is>
      </c>
      <c r="C153" s="25" t="inlineStr">
        <is>
          <t>https://recherche-entreprises.api.gouv.fr/search?q=chateau%20de%20brissac&amp;per_page=10</t>
        </is>
      </c>
      <c r="D153" s="25" t="inlineStr">
        <is>
          <t>registre officiel (API data.gouv)</t>
        </is>
      </c>
      <c r="E153" s="25" t="inlineStr">
        <is>
          <t>2026-10-14</t>
        </is>
      </c>
      <c r="F153" s="25" t="inlineStr">
        <is>
          <t>page_lue</t>
        </is>
      </c>
      <c r="G153" s="25" t="inlineStr">
        <is>
          <t>Cas Brissac</t>
        </is>
      </c>
      <c r="H153" s="25" t="inlineStr">
        <is>
          <t>haute</t>
        </is>
      </c>
    </row>
    <row r="154">
      <c r="A154" s="25" t="inlineStr">
        <is>
          <t>R4-07</t>
        </is>
      </c>
      <c r="B154" s="8" t="inlineStr">
        <is>
          <t>API Recherche d'entreprises - requête « courances »</t>
        </is>
      </c>
      <c r="C154" s="25" t="inlineStr">
        <is>
          <t>https://recherche-entreprises.api.gouv.fr/search?q=courances&amp;per_page=15</t>
        </is>
      </c>
      <c r="D154" s="25" t="inlineStr">
        <is>
          <t>registre officiel (API data.gouv)</t>
        </is>
      </c>
      <c r="E154" s="25" t="inlineStr">
        <is>
          <t>2026-10-14</t>
        </is>
      </c>
      <c r="F154" s="25" t="inlineStr">
        <is>
          <t>page_lue</t>
        </is>
      </c>
      <c r="G154" s="25" t="inlineStr">
        <is>
          <t>Cas Courances</t>
        </is>
      </c>
      <c r="H154" s="25" t="inlineStr">
        <is>
          <t>haute</t>
        </is>
      </c>
    </row>
    <row r="155">
      <c r="A155" s="25" t="inlineStr">
        <is>
          <t>R4-08</t>
        </is>
      </c>
      <c r="B155" s="8" t="inlineStr">
        <is>
          <t>API Recherche d'entreprises - requête « domaine des etangs » (CP 16310)</t>
        </is>
      </c>
      <c r="C155" s="25" t="inlineStr">
        <is>
          <t>https://recherche-entreprises.api.gouv.fr/search?q=domaine%20des%20etangs&amp;code_postal=16310&amp;per_page=10</t>
        </is>
      </c>
      <c r="D155" s="25" t="inlineStr">
        <is>
          <t>registre officiel (API data.gouv)</t>
        </is>
      </c>
      <c r="E155" s="25" t="inlineStr">
        <is>
          <t>2026-10-14</t>
        </is>
      </c>
      <c r="F155" s="25" t="inlineStr">
        <is>
          <t>page_lue</t>
        </is>
      </c>
      <c r="G155" s="25" t="inlineStr">
        <is>
          <t>Cas Domaine des Étangs</t>
        </is>
      </c>
      <c r="H155" s="25" t="inlineStr">
        <is>
          <t>haute</t>
        </is>
      </c>
    </row>
    <row r="156">
      <c r="A156" s="25" t="inlineStr">
        <is>
          <t>R4-09</t>
        </is>
      </c>
      <c r="B156" s="8" t="inlineStr">
        <is>
          <t>API Recherche d'entreprises - requête « ygrande »</t>
        </is>
      </c>
      <c r="C156" s="25" t="inlineStr">
        <is>
          <t>https://recherche-entreprises.api.gouv.fr/search?q=ygrande&amp;per_page=15</t>
        </is>
      </c>
      <c r="D156" s="25" t="inlineStr">
        <is>
          <t>registre officiel (API data.gouv)</t>
        </is>
      </c>
      <c r="E156" s="25" t="inlineStr">
        <is>
          <t>2026-10-14</t>
        </is>
      </c>
      <c r="F156" s="25" t="inlineStr">
        <is>
          <t>page_lue</t>
        </is>
      </c>
      <c r="G156" s="25" t="inlineStr">
        <is>
          <t>Échec Ygrande</t>
        </is>
      </c>
      <c r="H156" s="25" t="inlineStr">
        <is>
          <t>haute</t>
        </is>
      </c>
    </row>
    <row r="157">
      <c r="A157" s="25" t="inlineStr">
        <is>
          <t>R4-10</t>
        </is>
      </c>
      <c r="B157" s="8" t="inlineStr">
        <is>
          <t>API Recherche d'entreprises - requête « chateau » CP 03160 (Ygrande, Bourbon-l'Archambault)</t>
        </is>
      </c>
      <c r="C157" s="25" t="inlineStr">
        <is>
          <t>https://recherche-entreprises.api.gouv.fr/search?q=chateau&amp;code_postal=03160&amp;per_page=20</t>
        </is>
      </c>
      <c r="D157" s="25" t="inlineStr">
        <is>
          <t>registre officiel (API data.gouv)</t>
        </is>
      </c>
      <c r="E157" s="25" t="inlineStr">
        <is>
          <t>2026-10-14</t>
        </is>
      </c>
      <c r="F157" s="25" t="inlineStr">
        <is>
          <t>page_lue</t>
        </is>
      </c>
      <c r="G157" s="25" t="inlineStr">
        <is>
          <t>Échec Ygrande</t>
        </is>
      </c>
      <c r="H157" s="25" t="inlineStr">
        <is>
          <t>haute</t>
        </is>
      </c>
    </row>
    <row r="158">
      <c r="A158" s="25" t="inlineStr">
        <is>
          <t>R4-11</t>
        </is>
      </c>
      <c r="B158" s="8" t="inlineStr">
        <is>
          <t>API Recherche d'entreprises - hôtels (NAF 55.10Z) CP 03160</t>
        </is>
      </c>
      <c r="C158" s="25" t="inlineStr">
        <is>
          <t>https://recherche-entreprises.api.gouv.fr/search?activite_principale=55.10Z&amp;code_postal=03160&amp;per_page=20</t>
        </is>
      </c>
      <c r="D158" s="25" t="inlineStr">
        <is>
          <t>registre officiel (API data.gouv)</t>
        </is>
      </c>
      <c r="E158" s="25" t="inlineStr">
        <is>
          <t>2026-10-14</t>
        </is>
      </c>
      <c r="F158" s="25" t="inlineStr">
        <is>
          <t>page_lue</t>
        </is>
      </c>
      <c r="G158" s="25" t="inlineStr">
        <is>
          <t>Échec Ygrande</t>
        </is>
      </c>
      <c r="H158" s="25" t="inlineStr">
        <is>
          <t>haute</t>
        </is>
      </c>
    </row>
    <row r="159">
      <c r="A159" s="25" t="inlineStr">
        <is>
          <t>R4-12</t>
        </is>
      </c>
      <c r="B159" s="8" t="inlineStr">
        <is>
          <t>API Recherche d'entreprises - requête « parc de courances »</t>
        </is>
      </c>
      <c r="C159" s="25" t="inlineStr">
        <is>
          <t>https://recherche-entreprises.api.gouv.fr/search?q=parc%20de%20courances&amp;per_page=10</t>
        </is>
      </c>
      <c r="D159" s="25" t="inlineStr">
        <is>
          <t>registre officiel (API data.gouv)</t>
        </is>
      </c>
      <c r="E159" s="25" t="inlineStr">
        <is>
          <t>2026-10-14</t>
        </is>
      </c>
      <c r="F159" s="25" t="inlineStr">
        <is>
          <t>page_lue</t>
        </is>
      </c>
      <c r="G159" s="25" t="inlineStr">
        <is>
          <t>Cas Courances</t>
        </is>
      </c>
      <c r="H159" s="25" t="inlineStr">
        <is>
          <t>haute</t>
        </is>
      </c>
    </row>
    <row r="160">
      <c r="A160" s="25" t="inlineStr">
        <is>
          <t>R4-13</t>
        </is>
      </c>
      <c r="B160" s="8" t="inlineStr">
        <is>
          <t>API Recherche d'entreprises - requête « breteuil » CP 78460</t>
        </is>
      </c>
      <c r="C160" s="25" t="inlineStr">
        <is>
          <t>https://recherche-entreprises.api.gouv.fr/search?q=breteuil&amp;code_postal=78460&amp;per_page=15</t>
        </is>
      </c>
      <c r="D160" s="25" t="inlineStr">
        <is>
          <t>registre officiel (API data.gouv)</t>
        </is>
      </c>
      <c r="E160" s="25" t="inlineStr">
        <is>
          <t>2026-10-14</t>
        </is>
      </c>
      <c r="F160" s="25" t="inlineStr">
        <is>
          <t>page_lue</t>
        </is>
      </c>
      <c r="G160" s="25" t="inlineStr">
        <is>
          <t>Cas Breteuil</t>
        </is>
      </c>
      <c r="H160" s="25" t="inlineStr">
        <is>
          <t>haute</t>
        </is>
      </c>
    </row>
    <row r="161">
      <c r="A161" s="25" t="inlineStr">
        <is>
          <t>R4-14</t>
        </is>
      </c>
      <c r="B161" s="8" t="inlineStr">
        <is>
          <t>API Recherche d'entreprises - requête « champ de bataille » CP 27110</t>
        </is>
      </c>
      <c r="C161" s="25" t="inlineStr">
        <is>
          <t>https://recherche-entreprises.api.gouv.fr/search?q=champ%20de%20bataille&amp;code_postal=27110&amp;per_page=15</t>
        </is>
      </c>
      <c r="D161" s="25" t="inlineStr">
        <is>
          <t>registre officiel (API data.gouv)</t>
        </is>
      </c>
      <c r="E161" s="25" t="inlineStr">
        <is>
          <t>2026-10-14</t>
        </is>
      </c>
      <c r="F161" s="25" t="inlineStr">
        <is>
          <t>page_lue</t>
        </is>
      </c>
      <c r="G161" s="25" t="inlineStr">
        <is>
          <t>Cas Champ de Bataille</t>
        </is>
      </c>
      <c r="H161" s="25" t="inlineStr">
        <is>
          <t>haute</t>
        </is>
      </c>
    </row>
    <row r="162">
      <c r="A162" s="25" t="inlineStr">
        <is>
          <t>R4-15</t>
        </is>
      </c>
      <c r="B162" s="8" t="inlineStr">
        <is>
          <t>API Recherche d'entreprises - requête « pole international du cheval »</t>
        </is>
      </c>
      <c r="C162" s="25" t="inlineStr">
        <is>
          <t>https://recherche-entreprises.api.gouv.fr/search?q=pole%20international%20du%20cheval&amp;per_page=10</t>
        </is>
      </c>
      <c r="D162" s="25" t="inlineStr">
        <is>
          <t>registre officiel (API data.gouv)</t>
        </is>
      </c>
      <c r="E162" s="25" t="inlineStr">
        <is>
          <t>2026-10-14</t>
        </is>
      </c>
      <c r="F162" s="25" t="inlineStr">
        <is>
          <t>page_lue</t>
        </is>
      </c>
      <c r="G162" s="25" t="inlineStr">
        <is>
          <t>Cas Pôle international du cheval Deauville</t>
        </is>
      </c>
      <c r="H162" s="25" t="inlineStr">
        <is>
          <t>haute</t>
        </is>
      </c>
    </row>
    <row r="163">
      <c r="A163" s="25" t="inlineStr">
        <is>
          <t>R4-16</t>
        </is>
      </c>
      <c r="B163" s="8" t="inlineStr">
        <is>
          <t>API Recherche d'entreprises - requête « haras du pin »</t>
        </is>
      </c>
      <c r="C163" s="25" t="inlineStr">
        <is>
          <t>https://recherche-entreprises.api.gouv.fr/search?q=haras%20du%20pin&amp;per_page=10</t>
        </is>
      </c>
      <c r="D163" s="25" t="inlineStr">
        <is>
          <t>registre officiel (API data.gouv)</t>
        </is>
      </c>
      <c r="E163" s="25" t="inlineStr">
        <is>
          <t>2026-10-14</t>
        </is>
      </c>
      <c r="F163" s="25" t="inlineStr">
        <is>
          <t>page_lue</t>
        </is>
      </c>
      <c r="G163" s="25" t="inlineStr">
        <is>
          <t>Cas Haras du Pin</t>
        </is>
      </c>
      <c r="H163" s="25" t="inlineStr">
        <is>
          <t>haute</t>
        </is>
      </c>
    </row>
    <row r="164">
      <c r="A164" s="25" t="inlineStr">
        <is>
          <t>R4-17</t>
        </is>
      </c>
      <c r="B164" s="8" t="inlineStr">
        <is>
          <t>API Recherche d'entreprises - requête « haras de jardy »</t>
        </is>
      </c>
      <c r="C164" s="25" t="inlineStr">
        <is>
          <t>https://recherche-entreprises.api.gouv.fr/search?q=haras%20de%20jardy&amp;per_page=10</t>
        </is>
      </c>
      <c r="D164" s="25" t="inlineStr">
        <is>
          <t>registre officiel (API data.gouv)</t>
        </is>
      </c>
      <c r="E164" s="25" t="inlineStr">
        <is>
          <t>2026-10-14</t>
        </is>
      </c>
      <c r="F164" s="25" t="inlineStr">
        <is>
          <t>page_lue</t>
        </is>
      </c>
      <c r="G164" s="25" t="inlineStr">
        <is>
          <t>Cas Haras de Jardy</t>
        </is>
      </c>
      <c r="H164" s="25" t="inlineStr">
        <is>
          <t>haute</t>
        </is>
      </c>
    </row>
    <row r="165">
      <c r="A165" s="25" t="inlineStr">
        <is>
          <t>R4-18</t>
        </is>
      </c>
      <c r="B165" s="8" t="inlineStr">
        <is>
          <t>BODACC (API open data DILA) - annonces de la société GROUPE COEUR ET DETENTE (SIREN 421318247, Ygrande)</t>
        </is>
      </c>
      <c r="C165" s="25" t="inlineStr">
        <is>
          <t>https://bodacc-datadila.opendatasoft.com/api/explore/v2.1/catalog/datasets/annonces-commerciales/records?where=registre%20like%20%22421318247%22&amp;limit=20&amp;order_by=dateparution%20desc</t>
        </is>
      </c>
      <c r="D165" s="25" t="inlineStr">
        <is>
          <t>journal officiel (BODACC, API DILA)</t>
        </is>
      </c>
      <c r="E165" s="25" t="inlineStr">
        <is>
          <t>2026-10-14</t>
        </is>
      </c>
      <c r="F165" s="25" t="inlineStr">
        <is>
          <t>page_lue</t>
        </is>
      </c>
      <c r="G165" s="25" t="inlineStr">
        <is>
          <t>Échec Ygrande</t>
        </is>
      </c>
      <c r="H165" s="25" t="inlineStr">
        <is>
          <t>haute</t>
        </is>
      </c>
    </row>
    <row r="166">
      <c r="A166" s="25" t="inlineStr">
        <is>
          <t>R4-19</t>
        </is>
      </c>
      <c r="B166" s="8" t="inlineStr">
        <is>
          <t>API Recherche d'entreprises - requête « mothe chandeniers »</t>
        </is>
      </c>
      <c r="C166" s="25" t="inlineStr">
        <is>
          <t>https://recherche-entreprises.api.gouv.fr/search?q=mothe%20chandeniers&amp;per_page=10</t>
        </is>
      </c>
      <c r="D166" s="25" t="inlineStr">
        <is>
          <t>registre officiel (API data.gouv)</t>
        </is>
      </c>
      <c r="E166" s="25" t="inlineStr">
        <is>
          <t>2026-10-14</t>
        </is>
      </c>
      <c r="F166" s="25" t="inlineStr">
        <is>
          <t>page_lue</t>
        </is>
      </c>
      <c r="G166" s="25" t="inlineStr">
        <is>
          <t>Cas Mothe-Chandeniers</t>
        </is>
      </c>
      <c r="H166" s="25" t="inlineStr">
        <is>
          <t>haute</t>
        </is>
      </c>
    </row>
    <row r="167">
      <c r="A167" s="25" t="inlineStr">
        <is>
          <t>R4-20</t>
        </is>
      </c>
      <c r="B167" s="8" t="inlineStr">
        <is>
          <t>API Recherche d'entreprises - requête « gudanes »</t>
        </is>
      </c>
      <c r="C167" s="25" t="inlineStr">
        <is>
          <t>https://recherche-entreprises.api.gouv.fr/search?q=gudanes&amp;per_page=10</t>
        </is>
      </c>
      <c r="D167" s="25" t="inlineStr">
        <is>
          <t>registre officiel (API data.gouv)</t>
        </is>
      </c>
      <c r="E167" s="25" t="inlineStr">
        <is>
          <t>2026-10-14</t>
        </is>
      </c>
      <c r="F167" s="25" t="inlineStr">
        <is>
          <t>page_lue</t>
        </is>
      </c>
      <c r="G167" s="25" t="inlineStr">
        <is>
          <t>Cas Gudanes</t>
        </is>
      </c>
      <c r="H167" s="25" t="inlineStr">
        <is>
          <t>haute</t>
        </is>
      </c>
    </row>
    <row r="168">
      <c r="A168" s="25" t="inlineStr">
        <is>
          <t>R4-21</t>
        </is>
      </c>
      <c r="B168" s="8" t="inlineStr">
        <is>
          <t>API Recherche d'entreprises - requête « motte husson »</t>
        </is>
      </c>
      <c r="C168" s="25" t="inlineStr">
        <is>
          <t>https://recherche-entreprises.api.gouv.fr/search?q=motte%20husson&amp;per_page=10</t>
        </is>
      </c>
      <c r="D168" s="25" t="inlineStr">
        <is>
          <t>registre officiel (API data.gouv)</t>
        </is>
      </c>
      <c r="E168" s="25" t="inlineStr">
        <is>
          <t>2026-10-14</t>
        </is>
      </c>
      <c r="F168" s="25" t="inlineStr">
        <is>
          <t>page_lue</t>
        </is>
      </c>
      <c r="G168" s="25" t="inlineStr">
        <is>
          <t>Cas Motte-Husson</t>
        </is>
      </c>
      <c r="H168" s="25" t="inlineStr">
        <is>
          <t>haute</t>
        </is>
      </c>
    </row>
    <row r="169">
      <c r="A169" s="25" t="inlineStr">
        <is>
          <t>R4-22</t>
        </is>
      </c>
      <c r="B169" s="8" t="inlineStr">
        <is>
          <t>API Recherche d'entreprises - société GROUPE COEUR ET DETENTE (SIREN 421318247)</t>
        </is>
      </c>
      <c r="C169" s="25" t="inlineStr">
        <is>
          <t>https://recherche-entreprises.api.gouv.fr/search?q=421318247</t>
        </is>
      </c>
      <c r="D169" s="25" t="inlineStr">
        <is>
          <t>registre officiel (API data.gouv)</t>
        </is>
      </c>
      <c r="E169" s="25" t="inlineStr">
        <is>
          <t>2026-10-14</t>
        </is>
      </c>
      <c r="F169" s="25" t="inlineStr">
        <is>
          <t>page_lue</t>
        </is>
      </c>
      <c r="G169" s="25" t="inlineStr">
        <is>
          <t>Échec Ygrande</t>
        </is>
      </c>
      <c r="H169" s="25" t="inlineStr">
        <is>
          <t>haute</t>
        </is>
      </c>
    </row>
    <row r="170">
      <c r="A170" s="25" t="inlineStr">
        <is>
          <t>R4-23</t>
        </is>
      </c>
      <c r="B170" s="8" t="inlineStr">
        <is>
          <t>Site du Château d'Ygrande - page d'accueil</t>
        </is>
      </c>
      <c r="C170" s="25" t="inlineStr">
        <is>
          <t>https://www.chateauygrande.fr/</t>
        </is>
      </c>
      <c r="D170" s="25" t="inlineStr">
        <is>
          <t>site du domaine</t>
        </is>
      </c>
      <c r="E170" s="25" t="inlineStr">
        <is>
          <t>2026-10-14</t>
        </is>
      </c>
      <c r="F170" s="25" t="inlineStr">
        <is>
          <t>page_lue</t>
        </is>
      </c>
      <c r="G170" s="25" t="inlineStr">
        <is>
          <t>Échec Ygrande</t>
        </is>
      </c>
      <c r="H170" s="25" t="inlineStr">
        <is>
          <t>moyenne</t>
        </is>
      </c>
    </row>
    <row r="171">
      <c r="A171" s="25" t="inlineStr">
        <is>
          <t>R4-24</t>
        </is>
      </c>
      <c r="B171" s="8" t="inlineStr">
        <is>
          <t>Site du Château d'Ygrande - CGU (éditeur du site)</t>
        </is>
      </c>
      <c r="C171" s="25" t="inlineStr">
        <is>
          <t>https://www.chateauygrande.fr/fr/cgu/</t>
        </is>
      </c>
      <c r="D171" s="25" t="inlineStr">
        <is>
          <t>site du domaine</t>
        </is>
      </c>
      <c r="E171" s="25" t="inlineStr">
        <is>
          <t>2026-10-14</t>
        </is>
      </c>
      <c r="F171" s="25" t="inlineStr">
        <is>
          <t>page_lue</t>
        </is>
      </c>
      <c r="G171" s="25" t="inlineStr">
        <is>
          <t>Échec Ygrande</t>
        </is>
      </c>
      <c r="H171" s="25" t="inlineStr">
        <is>
          <t>moyenne</t>
        </is>
      </c>
    </row>
    <row r="172">
      <c r="A172" s="25" t="inlineStr">
        <is>
          <t>R4-25</t>
        </is>
      </c>
      <c r="B172" s="8" t="inlineStr">
        <is>
          <t>Doctrine - fiche « GROUPE COEUR ET DETENTE (CHATEAU D'YGRANDE) Liquidation judiciaire » (page fermée, vue en résultat de recherche)</t>
        </is>
      </c>
      <c r="C172" s="25" t="inlineStr">
        <is>
          <t>https://www.doctrine.fr/e/ENT4995DA5C55E4022E8C47</t>
        </is>
      </c>
      <c r="D172" s="25" t="inlineStr">
        <is>
          <t>base juridique privée</t>
        </is>
      </c>
      <c r="E172" s="25" t="inlineStr">
        <is>
          <t>2026-10-14</t>
        </is>
      </c>
      <c r="F172" s="25" t="inlineStr">
        <is>
          <t>extrait</t>
        </is>
      </c>
      <c r="G172" s="25" t="inlineStr">
        <is>
          <t>Échec Ygrande</t>
        </is>
      </c>
      <c r="H172" s="25" t="inlineStr">
        <is>
          <t>moyenne</t>
        </is>
      </c>
    </row>
    <row r="173">
      <c r="A173" s="25" t="inlineStr">
        <is>
          <t>R4-26</t>
        </is>
      </c>
      <c r="B173" s="8" t="inlineStr">
        <is>
          <t>API Recherche d'entreprises - requête « haras d etreham »</t>
        </is>
      </c>
      <c r="C173" s="25" t="inlineStr">
        <is>
          <t>https://recherche-entreprises.api.gouv.fr/search?q=haras%20d%20etreham&amp;per_page=10</t>
        </is>
      </c>
      <c r="D173" s="25" t="inlineStr">
        <is>
          <t>registre officiel (API data.gouv)</t>
        </is>
      </c>
      <c r="E173" s="25" t="inlineStr">
        <is>
          <t>2026-10-14</t>
        </is>
      </c>
      <c r="F173" s="25" t="inlineStr">
        <is>
          <t>page_lue</t>
        </is>
      </c>
      <c r="G173" s="25" t="inlineStr">
        <is>
          <t>Cas Haras d'Étreham</t>
        </is>
      </c>
      <c r="H173" s="25" t="inlineStr">
        <is>
          <t>haute</t>
        </is>
      </c>
    </row>
    <row r="174">
      <c r="A174" s="25" t="inlineStr">
        <is>
          <t>R4-27</t>
        </is>
      </c>
      <c r="B174" s="8" t="inlineStr">
        <is>
          <t>API Recherche d'entreprises - requête « smith haut lafitte »</t>
        </is>
      </c>
      <c r="C174" s="25" t="inlineStr">
        <is>
          <t>https://recherche-entreprises.api.gouv.fr/search?q=smith%20haut%20lafitte&amp;per_page=10</t>
        </is>
      </c>
      <c r="D174" s="25" t="inlineStr">
        <is>
          <t>registre officiel (API data.gouv)</t>
        </is>
      </c>
      <c r="E174" s="25" t="inlineStr">
        <is>
          <t>2026-10-14</t>
        </is>
      </c>
      <c r="F174" s="25" t="inlineStr">
        <is>
          <t>page_lue</t>
        </is>
      </c>
      <c r="G174" s="25" t="inlineStr">
        <is>
          <t>Cas Smith Haut Lafitte</t>
        </is>
      </c>
      <c r="H174" s="25" t="inlineStr">
        <is>
          <t>haute</t>
        </is>
      </c>
    </row>
    <row r="175">
      <c r="A175" s="25" t="inlineStr">
        <is>
          <t>R4-28</t>
        </is>
      </c>
      <c r="B175" s="8" t="inlineStr">
        <is>
          <t>API Recherche d'entreprises - requête « chateau de pommard »</t>
        </is>
      </c>
      <c r="C175" s="25" t="inlineStr">
        <is>
          <t>https://recherche-entreprises.api.gouv.fr/search?q=chateau%20de%20pommard&amp;per_page=10</t>
        </is>
      </c>
      <c r="D175" s="25" t="inlineStr">
        <is>
          <t>registre officiel (API data.gouv)</t>
        </is>
      </c>
      <c r="E175" s="25" t="inlineStr">
        <is>
          <t>2026-10-14</t>
        </is>
      </c>
      <c r="F175" s="25" t="inlineStr">
        <is>
          <t>page_lue</t>
        </is>
      </c>
      <c r="G175" s="25" t="inlineStr">
        <is>
          <t>Cas Château de Pommard</t>
        </is>
      </c>
      <c r="H175" s="25" t="inlineStr">
        <is>
          <t>haute</t>
        </is>
      </c>
    </row>
    <row r="176">
      <c r="A176" s="25" t="inlineStr">
        <is>
          <t>R4-29</t>
        </is>
      </c>
      <c r="B176" s="8" t="inlineStr">
        <is>
          <t>API Recherche d'entreprises - requête « domaine de chantilly »</t>
        </is>
      </c>
      <c r="C176" s="25" t="inlineStr">
        <is>
          <t>https://recherche-entreprises.api.gouv.fr/search?q=domaine%20de%20chantilly&amp;per_page=10</t>
        </is>
      </c>
      <c r="D176" s="25" t="inlineStr">
        <is>
          <t>registre officiel (API data.gouv)</t>
        </is>
      </c>
      <c r="E176" s="25" t="inlineStr">
        <is>
          <t>2026-10-14</t>
        </is>
      </c>
      <c r="F176" s="25" t="inlineStr">
        <is>
          <t>page_lue</t>
        </is>
      </c>
      <c r="G176" s="25" t="inlineStr">
        <is>
          <t>Cas Chantilly</t>
        </is>
      </c>
      <c r="H176" s="25" t="inlineStr">
        <is>
          <t>haute</t>
        </is>
      </c>
    </row>
    <row r="177">
      <c r="A177" s="25" t="inlineStr">
        <is>
          <t>R4-30</t>
        </is>
      </c>
      <c r="B177" s="8" t="inlineStr">
        <is>
          <t>Wikipédia FR - Château de Vaux-le-Vicomte (lecture partielle, 100 000 premiers caractères)</t>
        </is>
      </c>
      <c r="C177" s="25" t="inlineStr">
        <is>
          <t>https://fr.wikipedia.org/wiki/Château_de_Vaux-le-Vicomte</t>
        </is>
      </c>
      <c r="D177" s="25" t="inlineStr">
        <is>
          <t>encyclopédie collaborative</t>
        </is>
      </c>
      <c r="E177" s="25" t="inlineStr">
        <is>
          <t>2026-10-14</t>
        </is>
      </c>
      <c r="F177" s="25" t="inlineStr">
        <is>
          <t>page_lue</t>
        </is>
      </c>
      <c r="G177" s="25" t="inlineStr">
        <is>
          <t>Cas Vaux-le-Vicomte</t>
        </is>
      </c>
      <c r="H177" s="25" t="inlineStr">
        <is>
          <t>moyenne</t>
        </is>
      </c>
    </row>
    <row r="178">
      <c r="A178" s="25" t="inlineStr">
        <is>
          <t>R4-31</t>
        </is>
      </c>
      <c r="B178" s="8" t="inlineStr">
        <is>
          <t>France Télévisions (francetvpro) - dossier de presse du documentaire sur Vaux-le-Vicomte, France 5, 19 juin 2016</t>
        </is>
      </c>
      <c r="C178" s="25" t="inlineStr">
        <is>
          <t>https://www.francetvpro.fr/contenu-de-presse/19227</t>
        </is>
      </c>
      <c r="D178" s="25" t="inlineStr">
        <is>
          <t>dossier de presse audiovisuel</t>
        </is>
      </c>
      <c r="E178" s="25" t="inlineStr">
        <is>
          <t>2026-10-14</t>
        </is>
      </c>
      <c r="F178" s="25" t="inlineStr">
        <is>
          <t>page_lue</t>
        </is>
      </c>
      <c r="G178" s="25" t="inlineStr">
        <is>
          <t>Cas Vaux-le-Vicomte</t>
        </is>
      </c>
      <c r="H178" s="25" t="inlineStr">
        <is>
          <t>moyenne</t>
        </is>
      </c>
    </row>
    <row r="179">
      <c r="A179" s="25" t="inlineStr">
        <is>
          <t>R4-32</t>
        </is>
      </c>
      <c r="B179" s="8" t="inlineStr">
        <is>
          <t>HSE Saint-Pétersbourg - « Classic Manor-Palace of Vaux-Le-Vicomte in the Hands of Three Brothers » (page ouverte sans le contenu - chiffres vus seulement en résultat de recherche)</t>
        </is>
      </c>
      <c r="C179" s="25" t="inlineStr">
        <is>
          <t>https://spb.hse.ru/soc/illuminated/news/229205627.html</t>
        </is>
      </c>
      <c r="D179" s="25" t="inlineStr">
        <is>
          <t>article universitaire (compte rendu)</t>
        </is>
      </c>
      <c r="E179" s="25" t="inlineStr">
        <is>
          <t>2026-10-14</t>
        </is>
      </c>
      <c r="F179" s="25" t="inlineStr">
        <is>
          <t>extrait</t>
        </is>
      </c>
      <c r="G179" s="25" t="inlineStr">
        <is>
          <t>Cas Vaux-le-Vicomte</t>
        </is>
      </c>
      <c r="H179" s="25" t="inlineStr">
        <is>
          <t>faible</t>
        </is>
      </c>
    </row>
    <row r="180">
      <c r="A180" s="25" t="inlineStr">
        <is>
          <t>R4-33</t>
        </is>
      </c>
      <c r="B180" s="8" t="inlineStr">
        <is>
          <t>Wikipédia FR - Château de Chenonceau (lecture partielle : partie historique seulement)</t>
        </is>
      </c>
      <c r="C180" s="25" t="inlineStr">
        <is>
          <t>https://fr.wikipedia.org/wiki/Château_de_Chenonceau</t>
        </is>
      </c>
      <c r="D180" s="25" t="inlineStr">
        <is>
          <t>encyclopédie collaborative</t>
        </is>
      </c>
      <c r="E180" s="25" t="inlineStr">
        <is>
          <t>2026-10-14</t>
        </is>
      </c>
      <c r="F180" s="25" t="inlineStr">
        <is>
          <t>page_lue</t>
        </is>
      </c>
      <c r="G180" s="25" t="inlineStr">
        <is>
          <t>Cas Chenonceau (aucun chiffre moderne trouvé)</t>
        </is>
      </c>
      <c r="H180" s="25" t="inlineStr">
        <is>
          <t>moyenne</t>
        </is>
      </c>
    </row>
    <row r="181">
      <c r="A181" s="25" t="inlineStr">
        <is>
          <t>R4-34</t>
        </is>
      </c>
      <c r="B181" s="8" t="inlineStr">
        <is>
          <t>API Recherche d'entreprises - filtre « chateau » + NAF 55.10Z (hôtels) + CA &gt;= 1 M€, page 1 (105 résultats au total)</t>
        </is>
      </c>
      <c r="C181" s="25" t="inlineStr">
        <is>
          <t>https://recherche-entreprises.api.gouv.fr/search?q=chateau&amp;activite_principale=55.10Z&amp;ca_min=1000000&amp;per_page=25</t>
        </is>
      </c>
      <c r="D181" s="25" t="inlineStr">
        <is>
          <t>registre officiel (API data.gouv)</t>
        </is>
      </c>
      <c r="E181" s="25" t="inlineStr">
        <is>
          <t>2026-10-14</t>
        </is>
      </c>
      <c r="F181" s="25" t="inlineStr">
        <is>
          <t>page_lue</t>
        </is>
      </c>
      <c r="G181" s="25" t="inlineStr">
        <is>
          <t>Échantillon châteaux-hôtels</t>
        </is>
      </c>
      <c r="H181" s="25" t="inlineStr">
        <is>
          <t>haute</t>
        </is>
      </c>
    </row>
    <row r="182">
      <c r="A182" s="25" t="inlineStr">
        <is>
          <t>R4-35</t>
        </is>
      </c>
      <c r="B182" s="8" t="inlineStr">
        <is>
          <t>API Recherche d'entreprises - même filtre, page 2</t>
        </is>
      </c>
      <c r="C182" s="25" t="inlineStr">
        <is>
          <t>https://recherche-entreprises.api.gouv.fr/search?q=chateau&amp;activite_principale=55.10Z&amp;ca_min=1000000&amp;per_page=25&amp;page=2</t>
        </is>
      </c>
      <c r="D182" s="25" t="inlineStr">
        <is>
          <t>registre officiel (API data.gouv)</t>
        </is>
      </c>
      <c r="E182" s="25" t="inlineStr">
        <is>
          <t>2026-10-14</t>
        </is>
      </c>
      <c r="F182" s="25" t="inlineStr">
        <is>
          <t>page_lue</t>
        </is>
      </c>
      <c r="G182" s="25" t="inlineStr">
        <is>
          <t>Échantillon châteaux-hôtels</t>
        </is>
      </c>
      <c r="H182" s="25" t="inlineStr">
        <is>
          <t>haute</t>
        </is>
      </c>
    </row>
    <row r="183">
      <c r="A183" s="25" t="inlineStr">
        <is>
          <t>R4-36</t>
        </is>
      </c>
      <c r="B183" s="8" t="inlineStr">
        <is>
          <t>ADT Loir-et-Cher - « Repères 2023 » (PDF inaccessible : erreur DNS - contenu vu seulement en résultat de recherche)</t>
        </is>
      </c>
      <c r="C183" s="25" t="inlineStr">
        <is>
          <t>https://static.provoyage.val-de-loire-41.com/wp-content/uploads/2024/06/reperes2023.pdf</t>
        </is>
      </c>
      <c r="D183" s="25" t="inlineStr">
        <is>
          <t>observatoire départemental du tourisme</t>
        </is>
      </c>
      <c r="E183" s="25" t="inlineStr">
        <is>
          <t>2026-10-14</t>
        </is>
      </c>
      <c r="F183" s="25" t="inlineStr">
        <is>
          <t>extrait</t>
        </is>
      </c>
      <c r="G183" s="25" t="inlineStr">
        <is>
          <t>Cas Cheverny (fréquentation non communiquée)</t>
        </is>
      </c>
      <c r="H183" s="25" t="inlineStr">
        <is>
          <t>moyenne</t>
        </is>
      </c>
    </row>
    <row r="184">
      <c r="A184" s="25" t="inlineStr">
        <is>
          <t>R4-37</t>
        </is>
      </c>
      <c r="B184" s="8" t="inlineStr">
        <is>
          <t>API Recherche d'entreprises - filtre « chateau » + NAF 82.30Z (organisation d'événements) + CA &gt;= 300 k€</t>
        </is>
      </c>
      <c r="C184" s="25" t="inlineStr">
        <is>
          <t>https://recherche-entreprises.api.gouv.fr/search?q=chateau&amp;activite_principale=82.30Z&amp;ca_min=300000&amp;per_page=25</t>
        </is>
      </c>
      <c r="D184" s="25" t="inlineStr">
        <is>
          <t>registre officiel (API data.gouv)</t>
        </is>
      </c>
      <c r="E184" s="25" t="inlineStr">
        <is>
          <t>2026-10-14</t>
        </is>
      </c>
      <c r="F184" s="25" t="inlineStr">
        <is>
          <t>page_lue</t>
        </is>
      </c>
      <c r="G184" s="25" t="inlineStr">
        <is>
          <t>Échantillon lieux de réception</t>
        </is>
      </c>
      <c r="H184" s="25" t="inlineStr">
        <is>
          <t>haute</t>
        </is>
      </c>
    </row>
    <row r="185">
      <c r="A185" s="25" t="inlineStr">
        <is>
          <t>R4-38</t>
        </is>
      </c>
      <c r="B185" s="8" t="inlineStr">
        <is>
          <t>API Recherche d'entreprises - filtre « chateau » + NAF 68.20B (location) + CA &gt;= 500 k€</t>
        </is>
      </c>
      <c r="C185" s="25" t="inlineStr">
        <is>
          <t>https://recherche-entreprises.api.gouv.fr/search?q=chateau&amp;activite_principale=68.20B&amp;ca_min=500000&amp;per_page=25</t>
        </is>
      </c>
      <c r="D185" s="25" t="inlineStr">
        <is>
          <t>registre officiel (API data.gouv)</t>
        </is>
      </c>
      <c r="E185" s="25" t="inlineStr">
        <is>
          <t>2026-10-14</t>
        </is>
      </c>
      <c r="F185" s="25" t="inlineStr">
        <is>
          <t>page_lue</t>
        </is>
      </c>
      <c r="G185" s="25" t="inlineStr">
        <is>
          <t>Échantillon lieux de réception (peu exploitable)</t>
        </is>
      </c>
      <c r="H185" s="25" t="inlineStr">
        <is>
          <t>haute</t>
        </is>
      </c>
    </row>
    <row r="186">
      <c r="A186" s="25" t="inlineStr">
        <is>
          <t>R4-39</t>
        </is>
      </c>
      <c r="B186" s="8" t="inlineStr">
        <is>
          <t>API Recherche d'entreprises - filtre « haras » + CA &gt;= 1 M€</t>
        </is>
      </c>
      <c r="C186" s="25" t="inlineStr">
        <is>
          <t>https://recherche-entreprises.api.gouv.fr/search?q=haras&amp;ca_min=1000000&amp;per_page=25</t>
        </is>
      </c>
      <c r="D186" s="25" t="inlineStr">
        <is>
          <t>registre officiel (API data.gouv)</t>
        </is>
      </c>
      <c r="E186" s="25" t="inlineStr">
        <is>
          <t>2026-10-14</t>
        </is>
      </c>
      <c r="F186" s="25" t="inlineStr">
        <is>
          <t>page_lue</t>
        </is>
      </c>
      <c r="G186" s="25" t="inlineStr">
        <is>
          <t>Échantillon haras privés</t>
        </is>
      </c>
      <c r="H186" s="25" t="inlineStr">
        <is>
          <t>haute</t>
        </is>
      </c>
    </row>
    <row r="187">
      <c r="A187" s="25" t="inlineStr">
        <is>
          <t>R4-40</t>
        </is>
      </c>
      <c r="B187" s="8" t="inlineStr">
        <is>
          <t>API Recherche d'entreprises - filtre « ecurie » + NAF 93.19Z + CA &gt;= 500 k€ (7 résultats)</t>
        </is>
      </c>
      <c r="C187" s="25" t="inlineStr">
        <is>
          <t>https://recherche-entreprises.api.gouv.fr/search?q=ecurie&amp;activite_principale=93.19Z&amp;ca_min=500000&amp;per_page=25</t>
        </is>
      </c>
      <c r="D187" s="25" t="inlineStr">
        <is>
          <t>registre officiel (API data.gouv)</t>
        </is>
      </c>
      <c r="E187" s="25" t="inlineStr">
        <is>
          <t>2026-10-14</t>
        </is>
      </c>
      <c r="F187" s="25" t="inlineStr">
        <is>
          <t>page_lue</t>
        </is>
      </c>
      <c r="G187" s="25" t="inlineStr">
        <is>
          <t>Échantillon écuries</t>
        </is>
      </c>
      <c r="H187" s="25" t="inlineStr">
        <is>
          <t>haute</t>
        </is>
      </c>
    </row>
    <row r="188">
      <c r="A188" s="25" t="inlineStr">
        <is>
          <t>R4-41</t>
        </is>
      </c>
      <c r="B188" s="8" t="inlineStr">
        <is>
          <t>Wikipédia FR - Château de la Mothe-Chandeniers (cite Le Point 04/12/2017, Dartagnans, France 3, Challenges, Infogreffe)</t>
        </is>
      </c>
      <c r="C188" s="25" t="inlineStr">
        <is>
          <t>https://fr.wikipedia.org/wiki/Château_de_la_Mothe-Chandeniers</t>
        </is>
      </c>
      <c r="D188" s="25" t="inlineStr">
        <is>
          <t>encyclopédie collaborative</t>
        </is>
      </c>
      <c r="E188" s="25" t="inlineStr">
        <is>
          <t>2026-10-14</t>
        </is>
      </c>
      <c r="F188" s="25" t="inlineStr">
        <is>
          <t>page_lue</t>
        </is>
      </c>
      <c r="G188" s="25" t="inlineStr">
        <is>
          <t>Cas Mothe-Chandeniers</t>
        </is>
      </c>
      <c r="H188" s="25" t="inlineStr">
        <is>
          <t>moyenne</t>
        </is>
      </c>
    </row>
    <row r="189">
      <c r="A189" s="25" t="inlineStr">
        <is>
          <t>R4-42</t>
        </is>
      </c>
      <c r="B189" s="8" t="inlineStr">
        <is>
          <t>Wikipédia FR - Puy du Fou (lecture partielle, 100 000 premiers caractères)</t>
        </is>
      </c>
      <c r="C189" s="25" t="inlineStr">
        <is>
          <t>https://fr.wikipedia.org/wiki/Puy_du_Fou</t>
        </is>
      </c>
      <c r="D189" s="25" t="inlineStr">
        <is>
          <t>encyclopédie collaborative</t>
        </is>
      </c>
      <c r="E189" s="25" t="inlineStr">
        <is>
          <t>2026-10-14</t>
        </is>
      </c>
      <c r="F189" s="25" t="inlineStr">
        <is>
          <t>page_lue</t>
        </is>
      </c>
      <c r="G189" s="25" t="inlineStr">
        <is>
          <t>Cas Puy du Fou</t>
        </is>
      </c>
      <c r="H189" s="25" t="inlineStr">
        <is>
          <t>moyenne</t>
        </is>
      </c>
    </row>
    <row r="190">
      <c r="A190" s="25" t="inlineStr">
        <is>
          <t>R4-43</t>
        </is>
      </c>
      <c r="B190" s="8" t="inlineStr">
        <is>
          <t>Wikipédia FR - Château de Gudanes (HTTP 404, page inexistante)</t>
        </is>
      </c>
      <c r="C190" s="25" t="inlineStr">
        <is>
          <t>https://fr.wikipedia.org/wiki/Château_de_Gudanes</t>
        </is>
      </c>
      <c r="D190" s="25" t="inlineStr">
        <is>
          <t>encyclopédie collaborative</t>
        </is>
      </c>
      <c r="E190" s="25" t="inlineStr">
        <is>
          <t>2026-10-14</t>
        </is>
      </c>
      <c r="F190" s="25" t="inlineStr">
        <is>
          <t>page_lue</t>
        </is>
      </c>
      <c r="G190" s="25" t="inlineStr">
        <is>
          <t>Cas Gudanes (aucune donnée)</t>
        </is>
      </c>
      <c r="H190" s="25" t="inlineStr">
        <is>
          <t>faible</t>
        </is>
      </c>
    </row>
    <row r="191">
      <c r="A191" s="25" t="inlineStr">
        <is>
          <t>R4-44</t>
        </is>
      </c>
      <c r="B191" s="8" t="inlineStr">
        <is>
          <t>Wikipedia EN - Escape to the Chateau</t>
        </is>
      </c>
      <c r="C191" s="25" t="inlineStr">
        <is>
          <t>https://en.wikipedia.org/wiki/Escape_to_the_Chateau</t>
        </is>
      </c>
      <c r="D191" s="25" t="inlineStr">
        <is>
          <t>encyclopédie collaborative</t>
        </is>
      </c>
      <c r="E191" s="25" t="inlineStr">
        <is>
          <t>2026-10-14</t>
        </is>
      </c>
      <c r="F191" s="25" t="inlineStr">
        <is>
          <t>page_lue</t>
        </is>
      </c>
      <c r="G191" s="25" t="inlineStr">
        <is>
          <t>Cas Motte-Husson</t>
        </is>
      </c>
      <c r="H191" s="25" t="inlineStr">
        <is>
          <t>moyenne</t>
        </is>
      </c>
    </row>
    <row r="192">
      <c r="A192" s="25" t="inlineStr">
        <is>
          <t>R4-45</t>
        </is>
      </c>
      <c r="B192" s="8" t="inlineStr">
        <is>
          <t>Sénat - Question écrite n° 14331 de M. Édouard Courtial (JO Sénat 13/02/2020) et réponse du ministère de la Culture (JO Sénat 10/09/2020) sur le domaine de Chantilly</t>
        </is>
      </c>
      <c r="C192" s="25" t="inlineStr">
        <is>
          <t>https://www.senat.fr/questions/base/2020/qSEQ200214331.html</t>
        </is>
      </c>
      <c r="D192" s="25" t="inlineStr">
        <is>
          <t>texte parlementaire officiel</t>
        </is>
      </c>
      <c r="E192" s="25" t="inlineStr">
        <is>
          <t>2026-10-14</t>
        </is>
      </c>
      <c r="F192" s="25" t="inlineStr">
        <is>
          <t>page_lue</t>
        </is>
      </c>
      <c r="G192" s="25" t="inlineStr">
        <is>
          <t>Cas Chantilly</t>
        </is>
      </c>
      <c r="H192" s="25" t="inlineStr">
        <is>
          <t>haute</t>
        </is>
      </c>
    </row>
    <row r="193">
      <c r="A193" s="25" t="inlineStr">
        <is>
          <t>R4-46</t>
        </is>
      </c>
      <c r="B193" s="8" t="inlineStr">
        <is>
          <t>Time Out Paris - « Ce monument emblématique à 1h de Paris lance un financement participatif pour sa rénovation à 68 millions d'euros » (09/02/2026, reprend The Independent)</t>
        </is>
      </c>
      <c r="C193" s="25" t="inlineStr">
        <is>
          <t>https://www.timeout.fr/paris/actualites/ce-monument-emblematique-a-1h-de-paris-lance-un-financement-participatif-pour-sa-renovation-a-68-millions-deuros-020926</t>
        </is>
      </c>
      <c r="D193" s="25" t="inlineStr">
        <is>
          <t>presse</t>
        </is>
      </c>
      <c r="E193" s="25" t="inlineStr">
        <is>
          <t>2026-10-14</t>
        </is>
      </c>
      <c r="F193" s="25" t="inlineStr">
        <is>
          <t>page_lue</t>
        </is>
      </c>
      <c r="G193" s="25" t="inlineStr">
        <is>
          <t>Cas Chantilly</t>
        </is>
      </c>
      <c r="H193" s="25" t="inlineStr">
        <is>
          <t>moyenne</t>
        </is>
      </c>
    </row>
    <row r="194">
      <c r="A194" s="25" t="inlineStr">
        <is>
          <t>R4-47</t>
        </is>
      </c>
      <c r="B194" s="8" t="inlineStr">
        <is>
          <t>Option Finance - « Le domaine de Chantilly recherche des soutiens » (HTTP 403 - chiffres vus seulement en résultat de recherche)</t>
        </is>
      </c>
      <c r="C194" s="25" t="inlineStr">
        <is>
          <t>https://www.optionfinance.fr/carrieres/le-domaine-de-chantilly-recherche-des-soutiens.html</t>
        </is>
      </c>
      <c r="D194" s="25" t="inlineStr">
        <is>
          <t>presse économique</t>
        </is>
      </c>
      <c r="E194" s="25" t="inlineStr">
        <is>
          <t>2026-10-14</t>
        </is>
      </c>
      <c r="F194" s="25" t="inlineStr">
        <is>
          <t>extrait</t>
        </is>
      </c>
      <c r="G194" s="25" t="inlineStr">
        <is>
          <t>Cas Chantilly</t>
        </is>
      </c>
      <c r="H194" s="25" t="inlineStr">
        <is>
          <t>moyenne</t>
        </is>
      </c>
    </row>
    <row r="195">
      <c r="A195" s="25" t="inlineStr">
        <is>
          <t>R4-48</t>
        </is>
      </c>
      <c r="B195" s="8" t="inlineStr">
        <is>
          <t>Thoroughbred Racing - « How the Covid shutdown has given historic Chantilly such a battering » (HTTP 502 - vu seulement en résultat de recherche)</t>
        </is>
      </c>
      <c r="C195" s="25" t="inlineStr">
        <is>
          <t>https://thoroughbredracing.com/articles/how-covid-shutdown-has-given-historic-chantilly-such-battering</t>
        </is>
      </c>
      <c r="D195" s="25" t="inlineStr">
        <is>
          <t>presse spécialisée</t>
        </is>
      </c>
      <c r="E195" s="25" t="inlineStr">
        <is>
          <t>2026-10-14</t>
        </is>
      </c>
      <c r="F195" s="25" t="inlineStr">
        <is>
          <t>extrait</t>
        </is>
      </c>
      <c r="G195" s="25" t="inlineStr">
        <is>
          <t>Cas Chantilly</t>
        </is>
      </c>
      <c r="H195" s="25" t="inlineStr">
        <is>
          <t>moyenne</t>
        </is>
      </c>
    </row>
    <row r="196">
      <c r="A196" s="25" t="inlineStr">
        <is>
          <t>R4-49</t>
        </is>
      </c>
      <c r="B196" s="8" t="inlineStr">
        <is>
          <t>Robb Report Singapore - « Inside Domaine des Etangs, a French castle reimagined by Auberge » (Chrissie McClatchie, 22/11/2023)</t>
        </is>
      </c>
      <c r="C196" s="25" t="inlineStr">
        <is>
          <t>https://robbreport.com.sg/inside-domaine-des-etangs-a-french-castle-reimagined-by-auberge/</t>
        </is>
      </c>
      <c r="D196" s="25" t="inlineStr">
        <is>
          <t>presse magazine luxe</t>
        </is>
      </c>
      <c r="E196" s="25" t="inlineStr">
        <is>
          <t>2026-10-14</t>
        </is>
      </c>
      <c r="F196" s="25" t="inlineStr">
        <is>
          <t>page_lue</t>
        </is>
      </c>
      <c r="G196" s="25" t="inlineStr">
        <is>
          <t>Cas Domaine des Étangs</t>
        </is>
      </c>
      <c r="H196" s="25" t="inlineStr">
        <is>
          <t>moyenne</t>
        </is>
      </c>
    </row>
    <row r="197">
      <c r="A197" s="25" t="inlineStr">
        <is>
          <t>R4-50</t>
        </is>
      </c>
      <c r="B197" s="8" t="inlineStr">
        <is>
          <t>Country Life - « Domaine des Etangs review » (vu seulement en résultat de recherche : hôtel depuis 2015, 29 chambres)</t>
        </is>
      </c>
      <c r="C197" s="25" t="inlineStr">
        <is>
          <t>https://countrylife.co.uk/travel/domaine-des-etangs-review-slice-french-heaven-earth-209935</t>
        </is>
      </c>
      <c r="D197" s="25" t="inlineStr">
        <is>
          <t>presse magazine</t>
        </is>
      </c>
      <c r="E197" s="25" t="inlineStr">
        <is>
          <t>2026-10-14</t>
        </is>
      </c>
      <c r="F197" s="25" t="inlineStr">
        <is>
          <t>extrait</t>
        </is>
      </c>
      <c r="G197" s="25" t="inlineStr">
        <is>
          <t>Cas Domaine des Étangs</t>
        </is>
      </c>
      <c r="H197" s="25" t="inlineStr">
        <is>
          <t>faible</t>
        </is>
      </c>
    </row>
    <row r="198">
      <c r="A198" s="25" t="inlineStr">
        <is>
          <t>R4-51</t>
        </is>
      </c>
      <c r="B198" s="8" t="inlineStr">
        <is>
          <t>La Demeure Historique - « Dossier présidentielle 2022 » (PDF, février 2022 - texte extrait localement du fichier téléchargé par WebFetch)</t>
        </is>
      </c>
      <c r="C198" s="25" t="inlineStr">
        <is>
          <t>https://www.demeure-historique.org/wp-content/uploads/2022/02/Dossier-presidentielle-2022.pdf</t>
        </is>
      </c>
      <c r="D198" s="25" t="inlineStr">
        <is>
          <t>document de plaidoyer d'association (reconnue d'utilité publique)</t>
        </is>
      </c>
      <c r="E198" s="25" t="inlineStr">
        <is>
          <t>2026-10-14</t>
        </is>
      </c>
      <c r="F198" s="25" t="inlineStr">
        <is>
          <t>page_lue</t>
        </is>
      </c>
      <c r="G198" s="25" t="inlineStr">
        <is>
          <t>Contexte marché / échecs (reventes)</t>
        </is>
      </c>
      <c r="H198" s="25" t="inlineStr">
        <is>
          <t>moyenne</t>
        </is>
      </c>
    </row>
    <row r="199">
      <c r="A199" s="25" t="inlineStr">
        <is>
          <t>R4-52</t>
        </is>
      </c>
      <c r="B199" s="8" t="inlineStr">
        <is>
          <t>La Demeure Historique - « 2017-2022 Quels enjeux pour le patrimoine... Sept questions aux candidats aux élections législatives des 11 et 18 juin 2017 » (PDF - texte extrait localement)</t>
        </is>
      </c>
      <c r="C199" s="25" t="inlineStr">
        <is>
          <t>https://www.demeure-historique.org/wp-content/uploads/2017/05/Dossier-legislatives.pdf</t>
        </is>
      </c>
      <c r="D199" s="25" t="inlineStr">
        <is>
          <t>document de plaidoyer d'association</t>
        </is>
      </c>
      <c r="E199" s="25" t="inlineStr">
        <is>
          <t>2026-10-14</t>
        </is>
      </c>
      <c r="F199" s="25" t="inlineStr">
        <is>
          <t>page_lue</t>
        </is>
      </c>
      <c r="G199" s="25" t="inlineStr">
        <is>
          <t>Contexte marché / échecs (reventes) / ERP</t>
        </is>
      </c>
      <c r="H199" s="25" t="inlineStr">
        <is>
          <t>moyenne</t>
        </is>
      </c>
    </row>
    <row r="200">
      <c r="A200" s="25" t="inlineStr">
        <is>
          <t>R4-53</t>
        </is>
      </c>
      <c r="B200" s="8" t="inlineStr">
        <is>
          <t>Vie-publique.fr - rapport PDF 277948 sur les monuments détenus par des propriétaires privés (HTTP 503, non lu)</t>
        </is>
      </c>
      <c r="C200" s="25" t="inlineStr">
        <is>
          <t>https://www.vie-publique.fr/sites/default/files/rapport/pdf/277948_0.pdf</t>
        </is>
      </c>
      <c r="D200" s="25" t="inlineStr">
        <is>
          <t>rapport public</t>
        </is>
      </c>
      <c r="E200" s="25" t="inlineStr">
        <is>
          <t>2026-10-14</t>
        </is>
      </c>
      <c r="F200" s="25" t="inlineStr">
        <is>
          <t>extrait</t>
        </is>
      </c>
      <c r="G200" s="25" t="inlineStr">
        <is>
          <t>Non utilisé (inaccessible)</t>
        </is>
      </c>
      <c r="H200" s="25" t="inlineStr">
        <is>
          <t>moyenne</t>
        </is>
      </c>
    </row>
    <row r="201">
      <c r="A201" s="25" t="inlineStr">
        <is>
          <t>R4-54</t>
        </is>
      </c>
      <c r="B201" s="8" t="inlineStr">
        <is>
          <t>The Connexion - « PHOTOS: 'We wanted a small bolthole but bought a ruined French chateau' » (Gillian Harvey, 05/08/2022, modifié 07/02/2025) - Château de Gudanes</t>
        </is>
      </c>
      <c r="C201" s="25" t="inlineStr">
        <is>
          <t>https://www.connexionfrance.com/news/photos-we-wanted-a-small-bolthole-but-bought-a-ruined-french-chateau/244599</t>
        </is>
      </c>
      <c r="D201" s="25" t="inlineStr">
        <is>
          <t>presse (anglophones en France)</t>
        </is>
      </c>
      <c r="E201" s="25" t="inlineStr">
        <is>
          <t>2026-10-14</t>
        </is>
      </c>
      <c r="F201" s="25" t="inlineStr">
        <is>
          <t>page_lue</t>
        </is>
      </c>
      <c r="G201" s="25" t="inlineStr">
        <is>
          <t>Cas Gudanes</t>
        </is>
      </c>
      <c r="H201" s="25" t="inlineStr">
        <is>
          <t>moyenne</t>
        </is>
      </c>
    </row>
    <row r="202">
      <c r="A202" s="25" t="inlineStr">
        <is>
          <t>R4-55</t>
        </is>
      </c>
      <c r="B202" s="8" t="inlineStr">
        <is>
          <t>Companies House (UK) - recherche d'officers « Angela Strawbridge »</t>
        </is>
      </c>
      <c r="C202" s="25" t="inlineStr">
        <is>
          <t>https://find-and-update.company-information.service.gov.uk/search/officers?q=Angela+Strawbridge</t>
        </is>
      </c>
      <c r="D202" s="25" t="inlineStr">
        <is>
          <t>registre officiel britannique</t>
        </is>
      </c>
      <c r="E202" s="25" t="inlineStr">
        <is>
          <t>2026-10-14</t>
        </is>
      </c>
      <c r="F202" s="25" t="inlineStr">
        <is>
          <t>page_lue</t>
        </is>
      </c>
      <c r="G202" s="25" t="inlineStr">
        <is>
          <t>Cas Motte-Husson</t>
        </is>
      </c>
      <c r="H202" s="25" t="inlineStr">
        <is>
          <t>haute</t>
        </is>
      </c>
    </row>
    <row r="203">
      <c r="A203" s="25" t="inlineStr">
        <is>
          <t>R4-56</t>
        </is>
      </c>
      <c r="B203" s="8" t="inlineStr">
        <is>
          <t>Companies House - mandats d'Angela Strawbridge (adresse Château de la Motte-Husson)</t>
        </is>
      </c>
      <c r="C203" s="25" t="inlineStr">
        <is>
          <t>https://find-and-update.company-information.service.gov.uk/officers/CJ-8BaNPABN8_uS0D8rWBPg7AA4/appointments</t>
        </is>
      </c>
      <c r="D203" s="25" t="inlineStr">
        <is>
          <t>registre officiel britannique</t>
        </is>
      </c>
      <c r="E203" s="25" t="inlineStr">
        <is>
          <t>2026-10-14</t>
        </is>
      </c>
      <c r="F203" s="25" t="inlineStr">
        <is>
          <t>page_lue</t>
        </is>
      </c>
      <c r="G203" s="25" t="inlineStr">
        <is>
          <t>Cas Motte-Husson</t>
        </is>
      </c>
      <c r="H203" s="25" t="inlineStr">
        <is>
          <t>haute</t>
        </is>
      </c>
    </row>
    <row r="204">
      <c r="A204" s="25" t="inlineStr">
        <is>
          <t>R4-57</t>
        </is>
      </c>
      <c r="B204" s="8" t="inlineStr">
        <is>
          <t>Companies House - mandat d'Angela Strawbridge (ESCAPE TO THE CHATEAU LIMITED)</t>
        </is>
      </c>
      <c r="C204" s="25" t="inlineStr">
        <is>
          <t>https://find-and-update.company-information.service.gov.uk/officers/4t4q5MHTzVayuPShMtion9kRO5U/appointments</t>
        </is>
      </c>
      <c r="D204" s="25" t="inlineStr">
        <is>
          <t>registre officiel britannique</t>
        </is>
      </c>
      <c r="E204" s="25" t="inlineStr">
        <is>
          <t>2026-10-14</t>
        </is>
      </c>
      <c r="F204" s="25" t="inlineStr">
        <is>
          <t>page_lue</t>
        </is>
      </c>
      <c r="G204" s="25" t="inlineStr">
        <is>
          <t>Cas Motte-Husson</t>
        </is>
      </c>
      <c r="H204" s="25" t="inlineStr">
        <is>
          <t>haute</t>
        </is>
      </c>
    </row>
    <row r="205">
      <c r="A205" s="25" t="inlineStr">
        <is>
          <t>R4-58</t>
        </is>
      </c>
      <c r="B205" s="8" t="inlineStr">
        <is>
          <t>Companies House - ESCAPE TO THE CHATEAU LIMITED (12032099), fiche société</t>
        </is>
      </c>
      <c r="C205" s="25" t="inlineStr">
        <is>
          <t>https://find-and-update.company-information.service.gov.uk/company/12032099</t>
        </is>
      </c>
      <c r="D205" s="25" t="inlineStr">
        <is>
          <t>registre officiel britannique</t>
        </is>
      </c>
      <c r="E205" s="25" t="inlineStr">
        <is>
          <t>2026-10-14</t>
        </is>
      </c>
      <c r="F205" s="25" t="inlineStr">
        <is>
          <t>page_lue</t>
        </is>
      </c>
      <c r="G205" s="25" t="inlineStr">
        <is>
          <t>Cas Motte-Husson</t>
        </is>
      </c>
      <c r="H205" s="25" t="inlineStr">
        <is>
          <t>haute</t>
        </is>
      </c>
    </row>
    <row r="206">
      <c r="A206" s="25" t="inlineStr">
        <is>
          <t>R4-59</t>
        </is>
      </c>
      <c r="B206" s="8" t="inlineStr">
        <is>
          <t>Companies House - CHATEAU TELEVISION LIMITED (12462133), historique des dépôts</t>
        </is>
      </c>
      <c r="C206" s="25" t="inlineStr">
        <is>
          <t>https://find-and-update.company-information.service.gov.uk/company/12462133/filing-history</t>
        </is>
      </c>
      <c r="D206" s="25" t="inlineStr">
        <is>
          <t>registre officiel britannique</t>
        </is>
      </c>
      <c r="E206" s="25" t="inlineStr">
        <is>
          <t>2026-10-14</t>
        </is>
      </c>
      <c r="F206" s="25" t="inlineStr">
        <is>
          <t>page_lue</t>
        </is>
      </c>
      <c r="G206" s="25" t="inlineStr">
        <is>
          <t>Cas Motte-Husson</t>
        </is>
      </c>
      <c r="H206" s="25" t="inlineStr">
        <is>
          <t>haute</t>
        </is>
      </c>
    </row>
    <row r="207">
      <c r="A207" s="25" t="inlineStr">
        <is>
          <t>R4-60</t>
        </is>
      </c>
      <c r="B207" s="8" t="inlineStr">
        <is>
          <t>Companies House - CHATEAU-DE-LA-MOTTE HUSSON LIMITED (10674609), fiche société (dissoute le 08/08/2023)</t>
        </is>
      </c>
      <c r="C207" s="25" t="inlineStr">
        <is>
          <t>https://find-and-update.company-information.service.gov.uk/company/10674609</t>
        </is>
      </c>
      <c r="D207" s="25" t="inlineStr">
        <is>
          <t>registre officiel britannique</t>
        </is>
      </c>
      <c r="E207" s="25" t="inlineStr">
        <is>
          <t>2026-10-14</t>
        </is>
      </c>
      <c r="F207" s="25" t="inlineStr">
        <is>
          <t>page_lue</t>
        </is>
      </c>
      <c r="G207" s="25" t="inlineStr">
        <is>
          <t>Cas Motte-Husson</t>
        </is>
      </c>
      <c r="H207" s="25" t="inlineStr">
        <is>
          <t>haute</t>
        </is>
      </c>
    </row>
    <row r="208">
      <c r="A208" s="25" t="inlineStr">
        <is>
          <t>R4-61</t>
        </is>
      </c>
      <c r="B208" s="8" t="inlineStr">
        <is>
          <t>Hachette UK - fiche du livre « Living the Château Dream » (vue seulement en résultat de recherche)</t>
        </is>
      </c>
      <c r="C208" s="25" t="inlineStr">
        <is>
          <t>https://www.hachette.co.uk/titles/dick-strawbridge-2/living-the-ch%c3%a2teau-dream/9781841885391/</t>
        </is>
      </c>
      <c r="D208" s="25" t="inlineStr">
        <is>
          <t>éditeur (texte promotionnel)</t>
        </is>
      </c>
      <c r="E208" s="25" t="inlineStr">
        <is>
          <t>2026-10-14</t>
        </is>
      </c>
      <c r="F208" s="25" t="inlineStr">
        <is>
          <t>extrait</t>
        </is>
      </c>
      <c r="G208" s="25" t="inlineStr">
        <is>
          <t>Cas Motte-Husson</t>
        </is>
      </c>
      <c r="H208" s="25" t="inlineStr">
        <is>
          <t>faible</t>
        </is>
      </c>
    </row>
    <row r="209">
      <c r="A209" s="25" t="inlineStr">
        <is>
          <t>R4-62</t>
        </is>
      </c>
      <c r="B209" s="8" t="inlineStr">
        <is>
          <t>Paris ZigZag - « Château de la Mothe-Chandeniers : écolodges » (Mélina Hoffmann, modifié le 09/12/2024)</t>
        </is>
      </c>
      <c r="C209" s="25" t="inlineStr">
        <is>
          <t>https://www.pariszigzag.fr/france/chateau-mothe-chandeniers-ecolodges/</t>
        </is>
      </c>
      <c r="D209" s="25" t="inlineStr">
        <is>
          <t>presse loisirs</t>
        </is>
      </c>
      <c r="E209" s="25" t="inlineStr">
        <is>
          <t>2026-10-14</t>
        </is>
      </c>
      <c r="F209" s="25" t="inlineStr">
        <is>
          <t>page_lue</t>
        </is>
      </c>
      <c r="G209" s="25" t="inlineStr">
        <is>
          <t>Cas Mothe-Chandeniers</t>
        </is>
      </c>
      <c r="H209" s="25" t="inlineStr">
        <is>
          <t>moyenne</t>
        </is>
      </c>
    </row>
    <row r="210">
      <c r="A210" s="25" t="inlineStr">
        <is>
          <t>R4-63</t>
        </is>
      </c>
      <c r="B210" s="8" t="inlineStr">
        <is>
          <t>BODACC (API DILA) - annonces de la SAS CHATEAU DE LA MOTHE-CHANDENIERS (SIREN 835113820)</t>
        </is>
      </c>
      <c r="C210" s="25" t="inlineStr">
        <is>
          <t>https://bodacc-datadila.opendatasoft.com/api/explore/v2.1/catalog/datasets/annonces-commerciales/records?where=registre%20like%20%22835113820%22&amp;limit=30&amp;order_by=dateparution%20desc</t>
        </is>
      </c>
      <c r="D210" s="25" t="inlineStr">
        <is>
          <t>journal officiel (BODACC, API DILA)</t>
        </is>
      </c>
      <c r="E210" s="25" t="inlineStr">
        <is>
          <t>2026-10-14</t>
        </is>
      </c>
      <c r="F210" s="25" t="inlineStr">
        <is>
          <t>page_lue</t>
        </is>
      </c>
      <c r="G210" s="25" t="inlineStr">
        <is>
          <t>Cas Mothe-Chandeniers</t>
        </is>
      </c>
      <c r="H210" s="25" t="inlineStr">
        <is>
          <t>haute</t>
        </is>
      </c>
    </row>
    <row r="211">
      <c r="A211" s="25" t="inlineStr">
        <is>
          <t>R4-64</t>
        </is>
      </c>
      <c r="B211" s="8" t="inlineStr">
        <is>
          <t>France 3 Nouvelle-Aquitaine - article de décembre 2020 sur la 3e campagne (domaine non accessible par WebFetch - cité par Wikipédia)</t>
        </is>
      </c>
      <c r="C211" s="25" t="inlineStr">
        <is>
          <t>https://france3-regions.francetvinfo.fr/nouvelle-aquitaine/vienne/poitiers/vienne-chateau-mothe-chandeniers-se-cherche-nouveau-co-proprietaires-1905192.html</t>
        </is>
      </c>
      <c r="D211" s="25" t="inlineStr">
        <is>
          <t>presse régionale</t>
        </is>
      </c>
      <c r="E211" s="25" t="inlineStr">
        <is>
          <t>2026-10-14</t>
        </is>
      </c>
      <c r="F211" s="25" t="inlineStr">
        <is>
          <t>extrait</t>
        </is>
      </c>
      <c r="G211" s="25" t="inlineStr">
        <is>
          <t>Cas Mothe-Chandeniers</t>
        </is>
      </c>
      <c r="H211" s="25" t="inlineStr">
        <is>
          <t>moyenne</t>
        </is>
      </c>
    </row>
    <row r="212">
      <c r="A212" s="25" t="inlineStr">
        <is>
          <t>R4-65</t>
        </is>
      </c>
      <c r="B212" s="8" t="inlineStr">
        <is>
          <t>Acteurs publics - « Polémique sur la possible privatisation du Versailles du cheval » (22/02/2012) - Haras national du Pin</t>
        </is>
      </c>
      <c r="C212" s="25" t="inlineStr">
        <is>
          <t>https://acteurspublics.fr/articles/polemique-sur-la-possible-privatisation-du-versailles-du-cheval/</t>
        </is>
      </c>
      <c r="D212" s="25" t="inlineStr">
        <is>
          <t>presse administration publique</t>
        </is>
      </c>
      <c r="E212" s="25" t="inlineStr">
        <is>
          <t>2026-10-14</t>
        </is>
      </c>
      <c r="F212" s="25" t="inlineStr">
        <is>
          <t>page_lue</t>
        </is>
      </c>
      <c r="G212" s="25" t="inlineStr">
        <is>
          <t>Cas Haras du Pin</t>
        </is>
      </c>
      <c r="H212" s="25" t="inlineStr">
        <is>
          <t>moyenne</t>
        </is>
      </c>
    </row>
    <row r="213">
      <c r="A213" s="25" t="inlineStr">
        <is>
          <t>R4-66</t>
        </is>
      </c>
      <c r="B213" s="8" t="inlineStr">
        <is>
          <t>Sénat - étude d'impact du projet de loi pjl20-709 (dissolution de l'EPA Haras national du Pin) (HTTP 503 à deux reprises - contenu vu seulement en résultat de recherche)</t>
        </is>
      </c>
      <c r="C213" s="25" t="inlineStr">
        <is>
          <t>https://www.senat.fr/leg/etudes-impact/pjl20-709-ei/pjl20-709-ei.pdf</t>
        </is>
      </c>
      <c r="D213" s="25" t="inlineStr">
        <is>
          <t>document parlementaire officiel</t>
        </is>
      </c>
      <c r="E213" s="25" t="inlineStr">
        <is>
          <t>2026-10-14</t>
        </is>
      </c>
      <c r="F213" s="25" t="inlineStr">
        <is>
          <t>extrait</t>
        </is>
      </c>
      <c r="G213" s="25" t="inlineStr">
        <is>
          <t>Cas Haras du Pin</t>
        </is>
      </c>
      <c r="H213" s="25" t="inlineStr">
        <is>
          <t>haute</t>
        </is>
      </c>
    </row>
    <row r="214">
      <c r="A214" s="25" t="inlineStr">
        <is>
          <t>R4-67</t>
        </is>
      </c>
      <c r="B214" s="8" t="inlineStr">
        <is>
          <t>Ministère de l'Agriculture - document téléchargeable 56428 (budget prévisionnel 2016 du Haras du Pin d'après le résultat de recherche - HTTP 503)</t>
        </is>
      </c>
      <c r="C214" s="25" t="inlineStr">
        <is>
          <t>https://agriculture.gouv.fr/telecharger/56428</t>
        </is>
      </c>
      <c r="D214" s="25" t="inlineStr">
        <is>
          <t>document administratif officiel</t>
        </is>
      </c>
      <c r="E214" s="25" t="inlineStr">
        <is>
          <t>2026-10-14</t>
        </is>
      </c>
      <c r="F214" s="25" t="inlineStr">
        <is>
          <t>extrait</t>
        </is>
      </c>
      <c r="G214" s="25" t="inlineStr">
        <is>
          <t>Cas Haras du Pin</t>
        </is>
      </c>
      <c r="H214" s="25" t="inlineStr">
        <is>
          <t>moyenne</t>
        </is>
      </c>
    </row>
    <row r="215">
      <c r="A215" s="25" t="inlineStr">
        <is>
          <t>R4-68</t>
        </is>
      </c>
      <c r="B215" s="8" t="inlineStr">
        <is>
          <t>Wikipédia FR - Haras de Jardy (bandeau « sources insuffisantes » depuis 2019)</t>
        </is>
      </c>
      <c r="C215" s="25" t="inlineStr">
        <is>
          <t>https://fr.wikipedia.org/wiki/Haras_de_Jardy</t>
        </is>
      </c>
      <c r="D215" s="25" t="inlineStr">
        <is>
          <t>encyclopédie collaborative</t>
        </is>
      </c>
      <c r="E215" s="25" t="inlineStr">
        <is>
          <t>2026-10-14</t>
        </is>
      </c>
      <c r="F215" s="25" t="inlineStr">
        <is>
          <t>page_lue</t>
        </is>
      </c>
      <c r="G215" s="25" t="inlineStr">
        <is>
          <t>Cas Haras de Jardy</t>
        </is>
      </c>
      <c r="H215" s="25" t="inlineStr">
        <is>
          <t>faible</t>
        </is>
      </c>
    </row>
    <row r="216">
      <c r="A216" s="25" t="inlineStr">
        <is>
          <t>R4-69</t>
        </is>
      </c>
      <c r="B216" s="8" t="inlineStr">
        <is>
          <t>API Recherche d'entreprises - requête « haras de montaigu »</t>
        </is>
      </c>
      <c r="C216" s="25" t="inlineStr">
        <is>
          <t>https://recherche-entreprises.api.gouv.fr/search?q=haras%20de%20montaigu&amp;per_page=5</t>
        </is>
      </c>
      <c r="D216" s="25" t="inlineStr">
        <is>
          <t>registre officiel (API data.gouv)</t>
        </is>
      </c>
      <c r="E216" s="25" t="inlineStr">
        <is>
          <t>2026-10-14</t>
        </is>
      </c>
      <c r="F216" s="25" t="inlineStr">
        <is>
          <t>page_lue</t>
        </is>
      </c>
      <c r="G216" s="25" t="inlineStr">
        <is>
          <t>Haras privés normands</t>
        </is>
      </c>
      <c r="H216" s="25" t="inlineStr">
        <is>
          <t>haute</t>
        </is>
      </c>
    </row>
    <row r="217">
      <c r="A217" s="25" t="inlineStr">
        <is>
          <t>R4-70</t>
        </is>
      </c>
      <c r="B217" s="8" t="inlineStr">
        <is>
          <t>API Recherche d'entreprises - requête « haras du logis saint germain »</t>
        </is>
      </c>
      <c r="C217" s="25" t="inlineStr">
        <is>
          <t>https://recherche-entreprises.api.gouv.fr/search?q=haras%20du%20logis%20saint%20germain&amp;per_page=5</t>
        </is>
      </c>
      <c r="D217" s="25" t="inlineStr">
        <is>
          <t>registre officiel (API data.gouv)</t>
        </is>
      </c>
      <c r="E217" s="25" t="inlineStr">
        <is>
          <t>2026-10-14</t>
        </is>
      </c>
      <c r="F217" s="25" t="inlineStr">
        <is>
          <t>page_lue</t>
        </is>
      </c>
      <c r="G217" s="25" t="inlineStr">
        <is>
          <t>Haras privés normands</t>
        </is>
      </c>
      <c r="H217" s="25" t="inlineStr">
        <is>
          <t>haute</t>
        </is>
      </c>
    </row>
    <row r="218">
      <c r="A218" s="25" t="inlineStr">
        <is>
          <t>R4-71</t>
        </is>
      </c>
      <c r="B218" s="8" t="inlineStr">
        <is>
          <t>API Recherche d'entreprises - requête « haras du quesnay »</t>
        </is>
      </c>
      <c r="C218" s="25" t="inlineStr">
        <is>
          <t>https://recherche-entreprises.api.gouv.fr/search?q=haras%20du%20quesnay&amp;per_page=5</t>
        </is>
      </c>
      <c r="D218" s="25" t="inlineStr">
        <is>
          <t>registre officiel (API data.gouv)</t>
        </is>
      </c>
      <c r="E218" s="25" t="inlineStr">
        <is>
          <t>2026-10-14</t>
        </is>
      </c>
      <c r="F218" s="25" t="inlineStr">
        <is>
          <t>page_lue</t>
        </is>
      </c>
      <c r="G218" s="25" t="inlineStr">
        <is>
          <t>Haras privés normands</t>
        </is>
      </c>
      <c r="H218" s="25" t="inlineStr">
        <is>
          <t>haute</t>
        </is>
      </c>
    </row>
    <row r="219">
      <c r="A219" s="25" t="inlineStr">
        <is>
          <t>R4-72</t>
        </is>
      </c>
      <c r="B219" s="8" t="inlineStr">
        <is>
          <t>API Recherche d'entreprises - requête « haras de bonneval »</t>
        </is>
      </c>
      <c r="C219" s="25" t="inlineStr">
        <is>
          <t>https://recherche-entreprises.api.gouv.fr/search?q=haras%20de%20bonneval&amp;per_page=5</t>
        </is>
      </c>
      <c r="D219" s="25" t="inlineStr">
        <is>
          <t>registre officiel (API data.gouv)</t>
        </is>
      </c>
      <c r="E219" s="25" t="inlineStr">
        <is>
          <t>2026-10-14</t>
        </is>
      </c>
      <c r="F219" s="25" t="inlineStr">
        <is>
          <t>page_lue</t>
        </is>
      </c>
      <c r="G219" s="25" t="inlineStr">
        <is>
          <t>Haras privés normands</t>
        </is>
      </c>
      <c r="H219" s="25" t="inlineStr">
        <is>
          <t>haute</t>
        </is>
      </c>
    </row>
    <row r="220">
      <c r="A220" s="25" t="inlineStr">
        <is>
          <t>R4-73</t>
        </is>
      </c>
      <c r="B220" s="8" t="inlineStr">
        <is>
          <t>API Recherche d'entreprises - requête « haras de fresnay le buffard »</t>
        </is>
      </c>
      <c r="C220" s="25" t="inlineStr">
        <is>
          <t>https://recherche-entreprises.api.gouv.fr/search?q=haras%20de%20fresnay%20le%20buffard&amp;per_page=5</t>
        </is>
      </c>
      <c r="D220" s="25" t="inlineStr">
        <is>
          <t>registre officiel (API data.gouv)</t>
        </is>
      </c>
      <c r="E220" s="25" t="inlineStr">
        <is>
          <t>2026-10-14</t>
        </is>
      </c>
      <c r="F220" s="25" t="inlineStr">
        <is>
          <t>page_lue</t>
        </is>
      </c>
      <c r="G220" s="25" t="inlineStr">
        <is>
          <t>Haras privés normands</t>
        </is>
      </c>
      <c r="H220" s="25" t="inlineStr">
        <is>
          <t>haute</t>
        </is>
      </c>
    </row>
    <row r="221">
      <c r="A221" s="25" t="inlineStr">
        <is>
          <t>R4-74</t>
        </is>
      </c>
      <c r="B221" s="8" t="inlineStr">
        <is>
          <t>BODACC (API DILA) - procédures collectives 2023-2026, nom contenant « chateau », jugement contenant « liquidation » (327 annonces) - enregistrements 1 à 100</t>
        </is>
      </c>
      <c r="C221" s="25" t="inlineStr">
        <is>
          <t>https://bodacc-datadila.opendatasoft.com/api/explore/v2.1/catalog/datasets/annonces-commerciales/records?where=familleavis_lib%3D%22Proc%C3%A9dures%20collectives%22%20and%20search(commercant%2C%22chateau%22)%20and%20search(jugement%2C%22liquidation%22)%20and%20dateparution%3E%3Ddate%272023-01-01%27&amp;limit=100&amp;order_by=dateparution%20desc</t>
        </is>
      </c>
      <c r="D221" s="25" t="inlineStr">
        <is>
          <t>journal officiel (BODACC, API DILA)</t>
        </is>
      </c>
      <c r="E221" s="25" t="inlineStr">
        <is>
          <t>2026-10-14</t>
        </is>
      </c>
      <c r="F221" s="25" t="inlineStr">
        <is>
          <t>page_lue</t>
        </is>
      </c>
      <c r="G221" s="25" t="inlineStr">
        <is>
          <t>Échecs (liquidations)</t>
        </is>
      </c>
      <c r="H221" s="25" t="inlineStr">
        <is>
          <t>haute</t>
        </is>
      </c>
    </row>
    <row r="222">
      <c r="A222" s="25" t="inlineStr">
        <is>
          <t>R4-75</t>
        </is>
      </c>
      <c r="B222" s="8" t="inlineStr">
        <is>
          <t>BODACC (API DILA) - même requête, enregistrements 101 à 200 (lecture partielle)</t>
        </is>
      </c>
      <c r="C222" s="25" t="inlineStr">
        <is>
          <t>https://bodacc-datadila.opendatasoft.com/api/explore/v2.1/catalog/datasets/annonces-commerciales/records?where=familleavis_lib%3D%22Proc%C3%A9dures%20collectives%22%20and%20search(commercant%2C%22chateau%22)%20and%20search(jugement%2C%22liquidation%22)%20and%20dateparution%3E%3Ddate%272023-01-01%27&amp;limit=100&amp;offset=100&amp;order_by=dateparution%20desc</t>
        </is>
      </c>
      <c r="D222" s="25" t="inlineStr">
        <is>
          <t>journal officiel (BODACC, API DILA)</t>
        </is>
      </c>
      <c r="E222" s="25" t="inlineStr">
        <is>
          <t>2026-10-14</t>
        </is>
      </c>
      <c r="F222" s="25" t="inlineStr">
        <is>
          <t>page_lue</t>
        </is>
      </c>
      <c r="G222" s="25" t="inlineStr">
        <is>
          <t>Échecs (liquidations)</t>
        </is>
      </c>
      <c r="H222" s="25" t="inlineStr">
        <is>
          <t>haute</t>
        </is>
      </c>
    </row>
    <row r="223">
      <c r="A223" s="25" t="inlineStr">
        <is>
          <t>R4-76</t>
        </is>
      </c>
      <c r="B223" s="8" t="inlineStr">
        <is>
          <t>BODACC (API DILA) - même requête, enregistrements 201 à 300 (lecture partielle)</t>
        </is>
      </c>
      <c r="C223" s="25" t="inlineStr">
        <is>
          <t>https://bodacc-datadila.opendatasoft.com/api/explore/v2.1/catalog/datasets/annonces-commerciales/records?where=familleavis_lib%3D%22Proc%C3%A9dures%20collectives%22%20and%20search(commercant%2C%22chateau%22)%20and%20search(jugement%2C%22liquidation%22)%20and%20dateparution%3E%3Ddate%272023-01-01%27&amp;limit=100&amp;offset=200&amp;order_by=dateparution%20desc</t>
        </is>
      </c>
      <c r="D223" s="25" t="inlineStr">
        <is>
          <t>journal officiel (BODACC, API DILA)</t>
        </is>
      </c>
      <c r="E223" s="25" t="inlineStr">
        <is>
          <t>2026-10-14</t>
        </is>
      </c>
      <c r="F223" s="25" t="inlineStr">
        <is>
          <t>page_lue</t>
        </is>
      </c>
      <c r="G223" s="25" t="inlineStr">
        <is>
          <t>Échecs (liquidations)</t>
        </is>
      </c>
      <c r="H223" s="25" t="inlineStr">
        <is>
          <t>haute</t>
        </is>
      </c>
    </row>
    <row r="224">
      <c r="A224" s="25" t="inlineStr">
        <is>
          <t>R4-77</t>
        </is>
      </c>
      <c r="B224" s="8" t="inlineStr">
        <is>
          <t>Wikipédia FR - Château Smith Haut Lafitte (cite Le Point 29/07/2010)</t>
        </is>
      </c>
      <c r="C224" s="25" t="inlineStr">
        <is>
          <t>https://fr.wikipedia.org/wiki/Château_Smith_Haut_Lafitte</t>
        </is>
      </c>
      <c r="D224" s="25" t="inlineStr">
        <is>
          <t>encyclopédie collaborative</t>
        </is>
      </c>
      <c r="E224" s="25" t="inlineStr">
        <is>
          <t>2026-10-14</t>
        </is>
      </c>
      <c r="F224" s="25" t="inlineStr">
        <is>
          <t>page_lue</t>
        </is>
      </c>
      <c r="G224" s="25" t="inlineStr">
        <is>
          <t>Cas Smith Haut Lafitte</t>
        </is>
      </c>
      <c r="H224" s="25" t="inlineStr">
        <is>
          <t>moyenne</t>
        </is>
      </c>
    </row>
    <row r="225">
      <c r="A225" s="25" t="inlineStr">
        <is>
          <t>R4-78</t>
        </is>
      </c>
      <c r="B225" s="8" t="inlineStr">
        <is>
          <t>Wikipédia FR - Château de Pommard (cite Le Figaro, 17/09/2014 - bandeau « sources » 2021)</t>
        </is>
      </c>
      <c r="C225" s="25" t="inlineStr">
        <is>
          <t>https://fr.wikipedia.org/wiki/Château_de_Pommard</t>
        </is>
      </c>
      <c r="D225" s="25" t="inlineStr">
        <is>
          <t>encyclopédie collaborative</t>
        </is>
      </c>
      <c r="E225" s="25" t="inlineStr">
        <is>
          <t>2026-10-14</t>
        </is>
      </c>
      <c r="F225" s="25" t="inlineStr">
        <is>
          <t>page_lue</t>
        </is>
      </c>
      <c r="G225" s="25" t="inlineStr">
        <is>
          <t>Cas Château de Pommard</t>
        </is>
      </c>
      <c r="H225" s="25" t="inlineStr">
        <is>
          <t>moyenne</t>
        </is>
      </c>
    </row>
    <row r="226">
      <c r="A226" s="25" t="inlineStr">
        <is>
          <t>R4-79</t>
        </is>
      </c>
      <c r="B226" s="8" t="inlineStr">
        <is>
          <t>Wikipédia FR - Château du Champ-de-Bataille (cite Le Monde 22/03/2024, actu.fr 2023)</t>
        </is>
      </c>
      <c r="C226" s="25" t="inlineStr">
        <is>
          <t>https://fr.wikipedia.org/wiki/Château_du_Champ-de-Bataille</t>
        </is>
      </c>
      <c r="D226" s="25" t="inlineStr">
        <is>
          <t>encyclopédie collaborative</t>
        </is>
      </c>
      <c r="E226" s="25" t="inlineStr">
        <is>
          <t>2026-10-14</t>
        </is>
      </c>
      <c r="F226" s="25" t="inlineStr">
        <is>
          <t>page_lue</t>
        </is>
      </c>
      <c r="G226" s="25" t="inlineStr">
        <is>
          <t>Cas Champ de Bataille</t>
        </is>
      </c>
      <c r="H226" s="25" t="inlineStr">
        <is>
          <t>moyenne</t>
        </is>
      </c>
    </row>
    <row r="227">
      <c r="A227" s="25" t="inlineStr">
        <is>
          <t>R4-80</t>
        </is>
      </c>
      <c r="B227" s="8" t="inlineStr">
        <is>
          <t>Wikipédia FR - Château de Courances</t>
        </is>
      </c>
      <c r="C227" s="25" t="inlineStr">
        <is>
          <t>https://fr.wikipedia.org/wiki/Château_de_Courances</t>
        </is>
      </c>
      <c r="D227" s="25" t="inlineStr">
        <is>
          <t>encyclopédie collaborative</t>
        </is>
      </c>
      <c r="E227" s="25" t="inlineStr">
        <is>
          <t>2026-10-14</t>
        </is>
      </c>
      <c r="F227" s="25" t="inlineStr">
        <is>
          <t>page_lue</t>
        </is>
      </c>
      <c r="G227" s="25" t="inlineStr">
        <is>
          <t>Cas Courances</t>
        </is>
      </c>
      <c r="H227" s="25" t="inlineStr">
        <is>
          <t>moyenne</t>
        </is>
      </c>
    </row>
    <row r="228">
      <c r="A228" s="25" t="inlineStr">
        <is>
          <t>R4-81</t>
        </is>
      </c>
      <c r="B228" s="8" t="inlineStr">
        <is>
          <t>Site officiel du Domaine de Courances (page d'accueil et navigation)</t>
        </is>
      </c>
      <c r="C228" s="25" t="inlineStr">
        <is>
          <t>https://www.domainedecourances.com</t>
        </is>
      </c>
      <c r="D228" s="25" t="inlineStr">
        <is>
          <t>site du domaine</t>
        </is>
      </c>
      <c r="E228" s="25" t="inlineStr">
        <is>
          <t>2026-10-14</t>
        </is>
      </c>
      <c r="F228" s="25" t="inlineStr">
        <is>
          <t>page_lue</t>
        </is>
      </c>
      <c r="G228" s="25" t="inlineStr">
        <is>
          <t>Cas Courances</t>
        </is>
      </c>
      <c r="H228" s="25" t="inlineStr">
        <is>
          <t>moyenne</t>
        </is>
      </c>
    </row>
    <row r="229">
      <c r="A229" s="25" t="inlineStr">
        <is>
          <t>R4-82</t>
        </is>
      </c>
      <c r="B229" s="8" t="inlineStr">
        <is>
          <t>Wikipédia FR - Château de Breteuil (cite Le Figaro Magazine 2021 sans URL)</t>
        </is>
      </c>
      <c r="C229" s="25" t="inlineStr">
        <is>
          <t>https://fr.wikipedia.org/wiki/Château_de_Breteuil</t>
        </is>
      </c>
      <c r="D229" s="25" t="inlineStr">
        <is>
          <t>encyclopédie collaborative</t>
        </is>
      </c>
      <c r="E229" s="25" t="inlineStr">
        <is>
          <t>2026-10-14</t>
        </is>
      </c>
      <c r="F229" s="25" t="inlineStr">
        <is>
          <t>page_lue</t>
        </is>
      </c>
      <c r="G229" s="25" t="inlineStr">
        <is>
          <t>Cas Breteuil</t>
        </is>
      </c>
      <c r="H229" s="25" t="inlineStr">
        <is>
          <t>moyenne</t>
        </is>
      </c>
    </row>
    <row r="230">
      <c r="A230" s="25" t="inlineStr">
        <is>
          <t>R4-83</t>
        </is>
      </c>
      <c r="B230" s="8" t="inlineStr">
        <is>
          <t>Wikipédia FR - Château de Brissac</t>
        </is>
      </c>
      <c r="C230" s="25" t="inlineStr">
        <is>
          <t>https://fr.wikipedia.org/wiki/Château_de_Brissac</t>
        </is>
      </c>
      <c r="D230" s="25" t="inlineStr">
        <is>
          <t>encyclopédie collaborative</t>
        </is>
      </c>
      <c r="E230" s="25" t="inlineStr">
        <is>
          <t>2026-10-14</t>
        </is>
      </c>
      <c r="F230" s="25" t="inlineStr">
        <is>
          <t>page_lue</t>
        </is>
      </c>
      <c r="G230" s="25" t="inlineStr">
        <is>
          <t>Cas Brissac</t>
        </is>
      </c>
      <c r="H230" s="25" t="inlineStr">
        <is>
          <t>moyenne</t>
        </is>
      </c>
    </row>
    <row r="231">
      <c r="A231" s="25" t="inlineStr">
        <is>
          <t>R4-84</t>
        </is>
      </c>
      <c r="B231" s="8" t="inlineStr">
        <is>
          <t>Wikipédia FR - Château de Cheverny (tableau de fréquentation 2011-2016, cite France 3 et ADT 41)</t>
        </is>
      </c>
      <c r="C231" s="25" t="inlineStr">
        <is>
          <t>https://fr.wikipedia.org/wiki/Château_de_Cheverny</t>
        </is>
      </c>
      <c r="D231" s="25" t="inlineStr">
        <is>
          <t>encyclopédie collaborative</t>
        </is>
      </c>
      <c r="E231" s="25" t="inlineStr">
        <is>
          <t>2026-10-14</t>
        </is>
      </c>
      <c r="F231" s="25" t="inlineStr">
        <is>
          <t>page_lue</t>
        </is>
      </c>
      <c r="G231" s="25" t="inlineStr">
        <is>
          <t>Cas Cheverny</t>
        </is>
      </c>
      <c r="H231" s="25" t="inlineStr">
        <is>
          <t>moyenne</t>
        </is>
      </c>
    </row>
    <row r="232">
      <c r="A232" s="25" t="inlineStr">
        <is>
          <t>R4-85</t>
        </is>
      </c>
      <c r="B232" s="8" t="inlineStr">
        <is>
          <t>Wikipédia FR - Château de Villandry (lecture partielle)</t>
        </is>
      </c>
      <c r="C232" s="25" t="inlineStr">
        <is>
          <t>https://fr.wikipedia.org/wiki/Château_de_Villandry</t>
        </is>
      </c>
      <c r="D232" s="25" t="inlineStr">
        <is>
          <t>encyclopédie collaborative</t>
        </is>
      </c>
      <c r="E232" s="25" t="inlineStr">
        <is>
          <t>2026-10-14</t>
        </is>
      </c>
      <c r="F232" s="25" t="inlineStr">
        <is>
          <t>page_lue</t>
        </is>
      </c>
      <c r="G232" s="25" t="inlineStr">
        <is>
          <t>Cas Villandry</t>
        </is>
      </c>
      <c r="H232" s="25" t="inlineStr">
        <is>
          <t>moyenne</t>
        </is>
      </c>
    </row>
    <row r="233">
      <c r="A233" s="25" t="inlineStr">
        <is>
          <t>R4-86</t>
        </is>
      </c>
      <c r="B233" s="8" t="inlineStr">
        <is>
          <t>Résultats de recherche « Vaux-le-Vicomte modèle économique » (TourMaG, CNC, Avygeo… - phrases vues seulement dans les extraits : ouverture en 1968, plus de 70 salariés, objectif 400 000 visiteurs en 2020)</t>
        </is>
      </c>
      <c r="C233" s="25" t="inlineStr">
        <is>
          <t>https://www.tourmag.com/Groupes-vivez-une-journee-Grand-Siecle-et-bonnes-manieres-a-Vaux-le-Vicomte_a87719.html</t>
        </is>
      </c>
      <c r="D233" s="25" t="inlineStr">
        <is>
          <t>presse tourisme (extraits)</t>
        </is>
      </c>
      <c r="E233" s="25" t="inlineStr">
        <is>
          <t>2026-10-14</t>
        </is>
      </c>
      <c r="F233" s="25" t="inlineStr">
        <is>
          <t>extrait</t>
        </is>
      </c>
      <c r="G233" s="25" t="inlineStr">
        <is>
          <t>Cas Vaux-le-Vicomte</t>
        </is>
      </c>
      <c r="H233" s="25" t="inlineStr">
        <is>
          <t>faible</t>
        </is>
      </c>
    </row>
    <row r="234">
      <c r="A234" s="25" t="inlineStr">
        <is>
          <t>R4-87</t>
        </is>
      </c>
      <c r="B234" s="8" t="inlineStr">
        <is>
          <t>Ministère de la Culture (DRAC Centre-Val de Loire) - « Val de Loire Unesco » (11/07/2017), fréquentation de Chenonceau</t>
        </is>
      </c>
      <c r="C234" s="25" t="inlineStr">
        <is>
          <t>https://www.culture.gouv.fr/switchToLanguage/168969/fre-FR</t>
        </is>
      </c>
      <c r="D234" s="25" t="inlineStr">
        <is>
          <t>site officiel ministériel</t>
        </is>
      </c>
      <c r="E234" s="25" t="inlineStr">
        <is>
          <t>2026-10-14</t>
        </is>
      </c>
      <c r="F234" s="25" t="inlineStr">
        <is>
          <t>page_lue</t>
        </is>
      </c>
      <c r="G234" s="25" t="inlineStr">
        <is>
          <t>Cas Chenonceau</t>
        </is>
      </c>
      <c r="H234" s="25" t="inlineStr">
        <is>
          <t>haute</t>
        </is>
      </c>
    </row>
    <row r="235">
      <c r="A235" s="25" t="inlineStr">
        <is>
          <t>R4-88</t>
        </is>
      </c>
      <c r="B235" s="8" t="inlineStr">
        <is>
          <t>MADD Bordeaux - exposition « Paysans designers » : fiche Domaine de Courances (2021-2022)</t>
        </is>
      </c>
      <c r="C235" s="25" t="inlineStr">
        <is>
          <t>https://plan-paysans-designers.madd-bordeaux.fr/en/dans-les-champs/domaine-de-courances-essonne-3/</t>
        </is>
      </c>
      <c r="D235" s="25" t="inlineStr">
        <is>
          <t>site de musée (exposition)</t>
        </is>
      </c>
      <c r="E235" s="25" t="inlineStr">
        <is>
          <t>2026-10-14</t>
        </is>
      </c>
      <c r="F235" s="25" t="inlineStr">
        <is>
          <t>page_lue</t>
        </is>
      </c>
      <c r="G235" s="25" t="inlineStr">
        <is>
          <t>Cas Courances</t>
        </is>
      </c>
      <c r="H235" s="25" t="inlineStr">
        <is>
          <t>moyenne</t>
        </is>
      </c>
    </row>
    <row r="236">
      <c r="A236" s="25" t="inlineStr">
        <is>
          <t>R4-89</t>
        </is>
      </c>
      <c r="B236" s="8" t="inlineStr">
        <is>
          <t>Résultats de recherche « Courances » (Sortiraparis, Gault&amp;Millau, agroforesterie.fr - PDF en 404) : 1 800 ha moitié bois moitié champs, dix cousins propriétaires, potager bio en 2015, 10 chambres et suites et 2 appartements</t>
        </is>
      </c>
      <c r="C236" s="25" t="inlineStr">
        <is>
          <t>https://www.sortiraparis.com/arts-culture/histoire-patrimoine/articles/283209-le-chateau-et-domaine-de-courances-et-ses-superbes-jardins-remarquables</t>
        </is>
      </c>
      <c r="D236" s="25" t="inlineStr">
        <is>
          <t>presse (extraits)</t>
        </is>
      </c>
      <c r="E236" s="25" t="inlineStr">
        <is>
          <t>2026-10-14</t>
        </is>
      </c>
      <c r="F236" s="25" t="inlineStr">
        <is>
          <t>extrait</t>
        </is>
      </c>
      <c r="G236" s="25" t="inlineStr">
        <is>
          <t>Cas Courances</t>
        </is>
      </c>
      <c r="H236" s="25" t="inlineStr">
        <is>
          <t>faible</t>
        </is>
      </c>
    </row>
    <row r="237">
      <c r="A237" s="25" t="inlineStr">
        <is>
          <t>R4-90</t>
        </is>
      </c>
      <c r="B237" s="8" t="inlineStr">
        <is>
          <t>Revue Conflits - « Chantilly – Il était une fois les Grandes Écuries… » (Pétronille de Lestrade, 26/09/2021)</t>
        </is>
      </c>
      <c r="C237" s="25" t="inlineStr">
        <is>
          <t>https://www.revueconflits.com/chantilly-il-etait-une-fois-les-grandes-ecuries</t>
        </is>
      </c>
      <c r="D237" s="25" t="inlineStr">
        <is>
          <t>presse (revue)</t>
        </is>
      </c>
      <c r="E237" s="25" t="inlineStr">
        <is>
          <t>2026-10-14</t>
        </is>
      </c>
      <c r="F237" s="25" t="inlineStr">
        <is>
          <t>page_lue</t>
        </is>
      </c>
      <c r="G237" s="25" t="inlineStr">
        <is>
          <t>Cas Chantilly (équestre)</t>
        </is>
      </c>
      <c r="H237" s="25" t="inlineStr">
        <is>
          <t>moyenne</t>
        </is>
      </c>
    </row>
    <row r="238">
      <c r="A238" s="25" t="inlineStr">
        <is>
          <t>R4-91</t>
        </is>
      </c>
      <c r="B238" s="8" t="inlineStr">
        <is>
          <t>Résultats de recherche « Grandes Écuries Chantilly spectacle » (Paris Select Book 2025, Sanef - pages en 403) : distribution et tarifs du spectacle</t>
        </is>
      </c>
      <c r="C238" s="25" t="inlineStr">
        <is>
          <t>https://www.parisselectbook.com/?p=177538</t>
        </is>
      </c>
      <c r="D238" s="25" t="inlineStr">
        <is>
          <t>presse loisirs (extraits)</t>
        </is>
      </c>
      <c r="E238" s="25" t="inlineStr">
        <is>
          <t>2026-10-14</t>
        </is>
      </c>
      <c r="F238" s="25" t="inlineStr">
        <is>
          <t>extrait</t>
        </is>
      </c>
      <c r="G238" s="25" t="inlineStr">
        <is>
          <t>Cas Chantilly (équestre)</t>
        </is>
      </c>
      <c r="H238" s="25" t="inlineStr">
        <is>
          <t>faible</t>
        </is>
      </c>
    </row>
    <row r="239">
      <c r="A239" s="25" t="inlineStr">
        <is>
          <t>R4-92</t>
        </is>
      </c>
      <c r="B239" s="8" t="inlineStr">
        <is>
          <t>API Recherche d'entreprises - requête « haras de la cense »</t>
        </is>
      </c>
      <c r="C239" s="25" t="inlineStr">
        <is>
          <t>https://recherche-entreprises.api.gouv.fr/search?q=haras%20de%20la%20cense&amp;per_page=5</t>
        </is>
      </c>
      <c r="D239" s="25" t="inlineStr">
        <is>
          <t>registre officiel (API data.gouv)</t>
        </is>
      </c>
      <c r="E239" s="25" t="inlineStr">
        <is>
          <t>2026-10-14</t>
        </is>
      </c>
      <c r="F239" s="25" t="inlineStr">
        <is>
          <t>page_lue</t>
        </is>
      </c>
      <c r="G239" s="25" t="inlineStr">
        <is>
          <t>Domaines équestres privés</t>
        </is>
      </c>
      <c r="H239" s="25" t="inlineStr">
        <is>
          <t>haute</t>
        </is>
      </c>
    </row>
    <row r="240">
      <c r="A240" s="25" t="inlineStr">
        <is>
          <t>R4-93</t>
        </is>
      </c>
      <c r="B240" s="8" t="inlineStr">
        <is>
          <t>API Recherche d'entreprises - requête « domaine equestre » + CA &gt;= 300 k€</t>
        </is>
      </c>
      <c r="C240" s="25" t="inlineStr">
        <is>
          <t>https://recherche-entreprises.api.gouv.fr/search?q=domaine%20equestre&amp;ca_min=300000&amp;per_page=25</t>
        </is>
      </c>
      <c r="D240" s="25" t="inlineStr">
        <is>
          <t>registre officiel (API data.gouv)</t>
        </is>
      </c>
      <c r="E240" s="25" t="inlineStr">
        <is>
          <t>2026-10-14</t>
        </is>
      </c>
      <c r="F240" s="25" t="inlineStr">
        <is>
          <t>page_lue</t>
        </is>
      </c>
      <c r="G240" s="25" t="inlineStr">
        <is>
          <t>Domaines équestres privés</t>
        </is>
      </c>
      <c r="H240" s="25" t="inlineStr">
        <is>
          <t>haute</t>
        </is>
      </c>
    </row>
    <row r="241">
      <c r="A241" s="25" t="inlineStr">
        <is>
          <t>R4-94</t>
        </is>
      </c>
      <c r="B241" s="8" t="inlineStr">
        <is>
          <t>The Independent (via Yahoo News) - « Channel 4 severs ties with Escape to the Chateau stars » (Tom Murray, 20/05/2023)</t>
        </is>
      </c>
      <c r="C241" s="25" t="inlineStr">
        <is>
          <t>https://sg.news.yahoo.com/channel-4-severs-ties-escape-055036949.html</t>
        </is>
      </c>
      <c r="D241" s="25" t="inlineStr">
        <is>
          <t>presse nationale britannique</t>
        </is>
      </c>
      <c r="E241" s="25" t="inlineStr">
        <is>
          <t>2026-10-14</t>
        </is>
      </c>
      <c r="F241" s="25" t="inlineStr">
        <is>
          <t>page_lue</t>
        </is>
      </c>
      <c r="G241" s="25" t="inlineStr">
        <is>
          <t>Cas Motte-Husson (difficultés)</t>
        </is>
      </c>
      <c r="H241" s="25" t="inlineStr">
        <is>
          <t>moyenne</t>
        </is>
      </c>
    </row>
    <row r="242">
      <c r="A242" s="25" t="inlineStr">
        <is>
          <t>R4-95</t>
        </is>
      </c>
      <c r="B242" s="8" t="inlineStr">
        <is>
          <t>Yorkshire Evening Post - « Channel 4 drops Escape to the Chateau stars Dick and Angel Strawbridge after bullying claims » (HTTP 403 - vu seulement en résultat de recherche)</t>
        </is>
      </c>
      <c r="C242" s="25" t="inlineStr">
        <is>
          <t>https://www.yorkshireeveningpost.co.uk/read-this/channel-4-drops-escape-to-the-chateau-stars-dick-and-angel-strawbridge-4147890</t>
        </is>
      </c>
      <c r="D242" s="25" t="inlineStr">
        <is>
          <t>presse régionale britannique</t>
        </is>
      </c>
      <c r="E242" s="25" t="inlineStr">
        <is>
          <t>2026-10-14</t>
        </is>
      </c>
      <c r="F242" s="25" t="inlineStr">
        <is>
          <t>extrait</t>
        </is>
      </c>
      <c r="G242" s="25" t="inlineStr">
        <is>
          <t>Cas Motte-Husson (difficultés)</t>
        </is>
      </c>
      <c r="H242" s="25" t="inlineStr">
        <is>
          <t>moyenne</t>
        </is>
      </c>
    </row>
    <row r="243">
      <c r="A243" s="25" t="inlineStr">
        <is>
          <t>R5-01</t>
        </is>
      </c>
      <c r="B243" s="8" t="inlineStr">
        <is>
          <t>The Goodwood Estate Company Limited - Group strategic report and audited consolidated financial statements year ended 31 December 2025 (PDF Companies House)</t>
        </is>
      </c>
      <c r="C243" s="25" t="inlineStr">
        <is>
          <t>https://find-and-update.company-information.service.gov.uk/company/00553452/filing-history/MzU0OTg3NDM4MGFkaXF6a2N4/document?format=pdf&amp;download=0</t>
        </is>
      </c>
      <c r="D243" s="25" t="inlineStr">
        <is>
          <t>comptes annuels audités (registre officiel)</t>
        </is>
      </c>
      <c r="E243" s="25" t="inlineStr">
        <is>
          <t>2026-10-14</t>
        </is>
      </c>
      <c r="F243" s="25" t="inlineStr">
        <is>
          <t>page_lue</t>
        </is>
      </c>
      <c r="G243" s="25" t="inlineStr">
        <is>
          <t>R5 §1.1</t>
        </is>
      </c>
      <c r="H243" s="25" t="inlineStr">
        <is>
          <t>haute</t>
        </is>
      </c>
    </row>
    <row r="244">
      <c r="A244" s="25" t="inlineStr">
        <is>
          <t>R5-02</t>
        </is>
      </c>
      <c r="B244" s="8" t="inlineStr">
        <is>
          <t>Companies House - historique des dépôts de comptes de The Goodwood Estate Company Limited (00553452)</t>
        </is>
      </c>
      <c r="C244" s="25" t="inlineStr">
        <is>
          <t>https://find-and-update.company-information.service.gov.uk/company/00553452/filing-history?category=accounts</t>
        </is>
      </c>
      <c r="D244" s="25" t="inlineStr">
        <is>
          <t>registre officiel</t>
        </is>
      </c>
      <c r="E244" s="25" t="inlineStr">
        <is>
          <t>2026-10-14</t>
        </is>
      </c>
      <c r="F244" s="25" t="inlineStr">
        <is>
          <t>page_lue</t>
        </is>
      </c>
      <c r="G244" s="25" t="inlineStr">
        <is>
          <t>R5 §1.1</t>
        </is>
      </c>
      <c r="H244" s="25" t="inlineStr">
        <is>
          <t>haute</t>
        </is>
      </c>
    </row>
    <row r="245">
      <c r="A245" s="25" t="inlineStr">
        <is>
          <t>R5-03</t>
        </is>
      </c>
      <c r="B245" s="8" t="inlineStr">
        <is>
          <t>Blenheim Palace Heritage Foundation - Report of the Trustees and consolidated financial statements year ended 31 March 2025 (PDF Companies House)</t>
        </is>
      </c>
      <c r="C245" s="25" t="inlineStr">
        <is>
          <t>https://find-and-update.company-information.service.gov.uk/company/09430048/filing-history/MzQ4ODEzMTc4M2FkaXF6a2N4/document?format=pdf&amp;download=0</t>
        </is>
      </c>
      <c r="D245" s="25" t="inlineStr">
        <is>
          <t>comptes annuels audités de charity (registre officiel)</t>
        </is>
      </c>
      <c r="E245" s="25" t="inlineStr">
        <is>
          <t>2026-10-14</t>
        </is>
      </c>
      <c r="F245" s="25" t="inlineStr">
        <is>
          <t>page_lue</t>
        </is>
      </c>
      <c r="G245" s="25" t="inlineStr">
        <is>
          <t>R5 §1.2</t>
        </is>
      </c>
      <c r="H245" s="25" t="inlineStr">
        <is>
          <t>haute</t>
        </is>
      </c>
    </row>
    <row r="246">
      <c r="A246" s="25" t="inlineStr">
        <is>
          <t>R5-04</t>
        </is>
      </c>
      <c r="B246" s="8" t="inlineStr">
        <is>
          <t>Companies House - historique des dépôts de comptes de Blenheim Palace Heritage Foundation (09430048)</t>
        </is>
      </c>
      <c r="C246" s="25" t="inlineStr">
        <is>
          <t>https://find-and-update.company-information.service.gov.uk/company/09430048/filing-history?category=accounts</t>
        </is>
      </c>
      <c r="D246" s="25" t="inlineStr">
        <is>
          <t>registre officiel</t>
        </is>
      </c>
      <c r="E246" s="25" t="inlineStr">
        <is>
          <t>2026-10-14</t>
        </is>
      </c>
      <c r="F246" s="25" t="inlineStr">
        <is>
          <t>page_lue</t>
        </is>
      </c>
      <c r="G246" s="25" t="inlineStr">
        <is>
          <t>R5 §1.2</t>
        </is>
      </c>
      <c r="H246" s="25" t="inlineStr">
        <is>
          <t>haute</t>
        </is>
      </c>
    </row>
    <row r="247">
      <c r="A247" s="25" t="inlineStr">
        <is>
          <t>R5-05</t>
        </is>
      </c>
      <c r="B247" s="8" t="inlineStr">
        <is>
          <t>Chatsworth House Trust - Council of Management's report and consolidated financial statements year ended 31 March 2025 (PDF Companies House)</t>
        </is>
      </c>
      <c r="C247" s="25" t="inlineStr">
        <is>
          <t>https://find-and-update.company-information.service.gov.uk/company/01541046/filing-history/MzQ5MDAzMTU2MmFkaXF6a2N4/document?format=pdf&amp;download=0</t>
        </is>
      </c>
      <c r="D247" s="25" t="inlineStr">
        <is>
          <t>comptes annuels audités de charity (registre officiel)</t>
        </is>
      </c>
      <c r="E247" s="25" t="inlineStr">
        <is>
          <t>2026-10-14</t>
        </is>
      </c>
      <c r="F247" s="25" t="inlineStr">
        <is>
          <t>page_lue</t>
        </is>
      </c>
      <c r="G247" s="25" t="inlineStr">
        <is>
          <t>R5 §1.3</t>
        </is>
      </c>
      <c r="H247" s="25" t="inlineStr">
        <is>
          <t>haute</t>
        </is>
      </c>
    </row>
    <row r="248">
      <c r="A248" s="25" t="inlineStr">
        <is>
          <t>R5-06</t>
        </is>
      </c>
      <c r="B248" s="8" t="inlineStr">
        <is>
          <t>Companies House - historique des dépôts de comptes de Chatsworth House Trust (01541046)</t>
        </is>
      </c>
      <c r="C248" s="25" t="inlineStr">
        <is>
          <t>https://find-and-update.company-information.service.gov.uk/company/01541046/filing-history?category=accounts</t>
        </is>
      </c>
      <c r="D248" s="25" t="inlineStr">
        <is>
          <t>registre officiel</t>
        </is>
      </c>
      <c r="E248" s="25" t="inlineStr">
        <is>
          <t>2026-10-14</t>
        </is>
      </c>
      <c r="F248" s="25" t="inlineStr">
        <is>
          <t>page_lue</t>
        </is>
      </c>
      <c r="G248" s="25" t="inlineStr">
        <is>
          <t>R5 §1.3</t>
        </is>
      </c>
      <c r="H248" s="25" t="inlineStr">
        <is>
          <t>haute</t>
        </is>
      </c>
    </row>
    <row r="249">
      <c r="A249" s="25" t="inlineStr">
        <is>
          <t>R5-07</t>
        </is>
      </c>
      <c r="B249" s="8" t="inlineStr">
        <is>
          <t>Burghley House Preservation Trust Limited - Annual Report 2026 and consolidated financial statements year ended 31 January 2026 (PDF Companies House)</t>
        </is>
      </c>
      <c r="C249" s="25" t="inlineStr">
        <is>
          <t>https://find-and-update.company-information.service.gov.uk/company/00951524/filing-history/MzUzOTA5NTUzNmFkaXF6a2N4/document?format=pdf&amp;download=0</t>
        </is>
      </c>
      <c r="D249" s="25" t="inlineStr">
        <is>
          <t>comptes annuels audités de charity (registre officiel)</t>
        </is>
      </c>
      <c r="E249" s="25" t="inlineStr">
        <is>
          <t>2026-10-14</t>
        </is>
      </c>
      <c r="F249" s="25" t="inlineStr">
        <is>
          <t>page_lue</t>
        </is>
      </c>
      <c r="G249" s="25" t="inlineStr">
        <is>
          <t>R5 §1.4</t>
        </is>
      </c>
      <c r="H249" s="25" t="inlineStr">
        <is>
          <t>haute</t>
        </is>
      </c>
    </row>
    <row r="250">
      <c r="A250" s="25" t="inlineStr">
        <is>
          <t>R5-08</t>
        </is>
      </c>
      <c r="B250" s="8" t="inlineStr">
        <is>
          <t>Burghley Horse Trials Limited - Directors' report and financial statements year ended 31 January 2026 (PDF Companies House)</t>
        </is>
      </c>
      <c r="C250" s="25" t="inlineStr">
        <is>
          <t>https://find-and-update.company-information.service.gov.uk/company/07087188/filing-history/MzUzOTA5MjA4M2FkaXF6a2N4/document?format=pdf&amp;download=0</t>
        </is>
      </c>
      <c r="D250" s="25" t="inlineStr">
        <is>
          <t>comptes annuels audités (registre officiel)</t>
        </is>
      </c>
      <c r="E250" s="25" t="inlineStr">
        <is>
          <t>2026-10-14</t>
        </is>
      </c>
      <c r="F250" s="25" t="inlineStr">
        <is>
          <t>page_lue</t>
        </is>
      </c>
      <c r="G250" s="25" t="inlineStr">
        <is>
          <t>R5 §1.4</t>
        </is>
      </c>
      <c r="H250" s="25" t="inlineStr">
        <is>
          <t>haute</t>
        </is>
      </c>
    </row>
    <row r="251">
      <c r="A251" s="25" t="inlineStr">
        <is>
          <t>R5-09</t>
        </is>
      </c>
      <c r="B251" s="8" t="inlineStr">
        <is>
          <t>Companies House - recherches internes et historiques de dépôts (Burghley 00951524, Burghley Horse Trials 07087188, Badminton Horse Trials 03270324, liste des sociétés de concours complet dissoutes)</t>
        </is>
      </c>
      <c r="C251" s="25" t="inlineStr">
        <is>
          <t>https://find-and-update.company-information.service.gov.uk/search/companies?q=burghley+horse+trials</t>
        </is>
      </c>
      <c r="D251" s="25" t="inlineStr">
        <is>
          <t>registre officiel</t>
        </is>
      </c>
      <c r="E251" s="25" t="inlineStr">
        <is>
          <t>2026-10-14</t>
        </is>
      </c>
      <c r="F251" s="25" t="inlineStr">
        <is>
          <t>page_lue</t>
        </is>
      </c>
      <c r="G251" s="25" t="inlineStr">
        <is>
          <t>R5 §1.4 §1.5</t>
        </is>
      </c>
      <c r="H251" s="25" t="inlineStr">
        <is>
          <t>haute</t>
        </is>
      </c>
    </row>
    <row r="252">
      <c r="A252" s="25" t="inlineStr">
        <is>
          <t>R5-10</t>
        </is>
      </c>
      <c r="B252" s="8" t="inlineStr">
        <is>
          <t>Badminton Horse Trials Ltd - Total exemption full accounts 30 September 2025 (PDF Companies House)</t>
        </is>
      </c>
      <c r="C252" s="25" t="inlineStr">
        <is>
          <t>https://find-and-update.company-information.service.gov.uk/company/03270324/filing-history/MzUyMTI2NzYwNGFkaXF6a2N4/document?format=pdf&amp;download=0</t>
        </is>
      </c>
      <c r="D252" s="25" t="inlineStr">
        <is>
          <t>comptes annuels (registre officiel)</t>
        </is>
      </c>
      <c r="E252" s="25" t="inlineStr">
        <is>
          <t>2026-10-14</t>
        </is>
      </c>
      <c r="F252" s="25" t="inlineStr">
        <is>
          <t>page_lue</t>
        </is>
      </c>
      <c r="G252" s="25" t="inlineStr">
        <is>
          <t>R5 §1.5</t>
        </is>
      </c>
      <c r="H252" s="25" t="inlineStr">
        <is>
          <t>haute</t>
        </is>
      </c>
    </row>
    <row r="253">
      <c r="A253" s="25" t="inlineStr">
        <is>
          <t>R5-11</t>
        </is>
      </c>
      <c r="B253" s="8" t="inlineStr">
        <is>
          <t>Castle Howard Estate Limited - Strategic report and audited financial statements year ended 31 January 2025 (PDF Companies House)</t>
        </is>
      </c>
      <c r="C253" s="25" t="inlineStr">
        <is>
          <t>https://find-and-update.company-information.service.gov.uk/company/00480214/filing-history/MzQ4NTM0NjMxOGFkaXF6a2N4/document?format=pdf&amp;download=0</t>
        </is>
      </c>
      <c r="D253" s="25" t="inlineStr">
        <is>
          <t>comptes annuels audités (registre officiel)</t>
        </is>
      </c>
      <c r="E253" s="25" t="inlineStr">
        <is>
          <t>2026-10-14</t>
        </is>
      </c>
      <c r="F253" s="25" t="inlineStr">
        <is>
          <t>page_lue</t>
        </is>
      </c>
      <c r="G253" s="25" t="inlineStr">
        <is>
          <t>R5 §1.6</t>
        </is>
      </c>
      <c r="H253" s="25" t="inlineStr">
        <is>
          <t>haute</t>
        </is>
      </c>
    </row>
    <row r="254">
      <c r="A254" s="25" t="inlineStr">
        <is>
          <t>R5-12</t>
        </is>
      </c>
      <c r="B254" s="8" t="inlineStr">
        <is>
          <t>Longleat Enterprises Limited - Strategic report and audited financial statements year ended 31 December 2025 (PDF Companies House)</t>
        </is>
      </c>
      <c r="C254" s="25" t="inlineStr">
        <is>
          <t>https://find-and-update.company-information.service.gov.uk/company/00789512/filing-history/MzU0NDU1MzI2NWFkaXF6a2N4/document?format=pdf&amp;download=0</t>
        </is>
      </c>
      <c r="D254" s="25" t="inlineStr">
        <is>
          <t>comptes annuels audités (registre officiel)</t>
        </is>
      </c>
      <c r="E254" s="25" t="inlineStr">
        <is>
          <t>2026-10-14</t>
        </is>
      </c>
      <c r="F254" s="25" t="inlineStr">
        <is>
          <t>page_lue</t>
        </is>
      </c>
      <c r="G254" s="25" t="inlineStr">
        <is>
          <t>R5 §1.7</t>
        </is>
      </c>
      <c r="H254" s="25" t="inlineStr">
        <is>
          <t>haute</t>
        </is>
      </c>
    </row>
    <row r="255">
      <c r="A255" s="25" t="inlineStr">
        <is>
          <t>R5-13</t>
        </is>
      </c>
      <c r="B255" s="8" t="inlineStr">
        <is>
          <t>Highclere Enterprises LLP - Filleted unaudited financial statements year ended 31 March 2025 (PDF Companies House)</t>
        </is>
      </c>
      <c r="C255" s="25" t="inlineStr">
        <is>
          <t>https://find-and-update.company-information.service.gov.uk/company/OC305641/filing-history/MzUxMjQ5NDk3MWFkaXF6a2N4/document?format=pdf&amp;download=0</t>
        </is>
      </c>
      <c r="D255" s="25" t="inlineStr">
        <is>
          <t>comptes annuels (registre officiel)</t>
        </is>
      </c>
      <c r="E255" s="25" t="inlineStr">
        <is>
          <t>2026-10-14</t>
        </is>
      </c>
      <c r="F255" s="25" t="inlineStr">
        <is>
          <t>page_lue</t>
        </is>
      </c>
      <c r="G255" s="25" t="inlineStr">
        <is>
          <t>R5 §1.8</t>
        </is>
      </c>
      <c r="H255" s="25" t="inlineStr">
        <is>
          <t>haute</t>
        </is>
      </c>
    </row>
    <row r="256">
      <c r="A256" s="25" t="inlineStr">
        <is>
          <t>R5-14</t>
        </is>
      </c>
      <c r="B256" s="8" t="inlineStr">
        <is>
          <t>Northumberland Estates Limited - Group strategic report and audited consolidated financial statements year ended 31 March 2026 (PDF Companies House)</t>
        </is>
      </c>
      <c r="C256" s="25" t="inlineStr">
        <is>
          <t>https://find-and-update.company-information.service.gov.uk/company/05941545/filing-history/MzU0NTg2NTU3M2FkaXF6a2N4/document?format=pdf&amp;download=0</t>
        </is>
      </c>
      <c r="D256" s="25" t="inlineStr">
        <is>
          <t>comptes annuels audités (registre officiel)</t>
        </is>
      </c>
      <c r="E256" s="25" t="inlineStr">
        <is>
          <t>2026-10-14</t>
        </is>
      </c>
      <c r="F256" s="25" t="inlineStr">
        <is>
          <t>page_lue</t>
        </is>
      </c>
      <c r="G256" s="25" t="inlineStr">
        <is>
          <t>R5 §1.9</t>
        </is>
      </c>
      <c r="H256" s="25" t="inlineStr">
        <is>
          <t>haute</t>
        </is>
      </c>
    </row>
    <row r="257">
      <c r="A257" s="25" t="inlineStr">
        <is>
          <t>R5-15</t>
        </is>
      </c>
      <c r="B257" s="8" t="inlineStr">
        <is>
          <t>Historic Houses - The economic, social and cultural impact of independent historic houses (UK key stats 2025, PDF)</t>
        </is>
      </c>
      <c r="C257" s="25" t="inlineStr">
        <is>
          <t>https://cdn.historichouses.org/app/uploads/2025/04/05-uk-key-stats-2025-v5.pdf</t>
        </is>
      </c>
      <c r="D257" s="25" t="inlineStr">
        <is>
          <t>fiche statistique d'association professionnelle (enquête membres)</t>
        </is>
      </c>
      <c r="E257" s="25" t="inlineStr">
        <is>
          <t>2026-10-14</t>
        </is>
      </c>
      <c r="F257" s="25" t="inlineStr">
        <is>
          <t>page_lue</t>
        </is>
      </c>
      <c r="G257" s="25" t="inlineStr">
        <is>
          <t>R5 §1.10</t>
        </is>
      </c>
      <c r="H257" s="25" t="inlineStr">
        <is>
          <t>moyenne</t>
        </is>
      </c>
    </row>
    <row r="258">
      <c r="A258" s="25" t="inlineStr">
        <is>
          <t>R5-16</t>
        </is>
      </c>
      <c r="B258" s="8" t="inlineStr">
        <is>
          <t>Museums Association - New report highlights ongoing risk of repair backlog at historic houses (18/11/2025)</t>
        </is>
      </c>
      <c r="C258" s="25" t="inlineStr">
        <is>
          <t>https://www.museumsassociation.org/museums-journal/news/2025/11/new-report-highlights-ongoing-risk-of-repair-backlog-at-historic-houses/</t>
        </is>
      </c>
      <c r="D258" s="25" t="inlineStr">
        <is>
          <t>presse professionnelle</t>
        </is>
      </c>
      <c r="E258" s="25" t="inlineStr">
        <is>
          <t>2026-10-14</t>
        </is>
      </c>
      <c r="F258" s="25" t="inlineStr">
        <is>
          <t>page_lue</t>
        </is>
      </c>
      <c r="G258" s="25" t="inlineStr">
        <is>
          <t>R5 §1.10</t>
        </is>
      </c>
      <c r="H258" s="25" t="inlineStr">
        <is>
          <t>moyenne</t>
        </is>
      </c>
    </row>
    <row r="259">
      <c r="A259" s="25" t="inlineStr">
        <is>
          <t>R5-17</t>
        </is>
      </c>
      <c r="B259" s="8" t="inlineStr">
        <is>
          <t>HMRC Trusts, Settlements and Estates Manual - TSEM5800 Heritage maintenance funds</t>
        </is>
      </c>
      <c r="C259" s="25" t="inlineStr">
        <is>
          <t>https://www.gov.uk/hmrc-internal-manuals/trusts-settlements-and-estates-manual/tsem5800</t>
        </is>
      </c>
      <c r="D259" s="25" t="inlineStr">
        <is>
          <t>texte administratif officiel</t>
        </is>
      </c>
      <c r="E259" s="25" t="inlineStr">
        <is>
          <t>2026-10-14</t>
        </is>
      </c>
      <c r="F259" s="25" t="inlineStr">
        <is>
          <t>page_lue</t>
        </is>
      </c>
      <c r="G259" s="25" t="inlineStr">
        <is>
          <t>R5 §1.10</t>
        </is>
      </c>
      <c r="H259" s="25" t="inlineStr">
        <is>
          <t>haute</t>
        </is>
      </c>
    </row>
    <row r="260">
      <c r="A260" s="25" t="inlineStr">
        <is>
          <t>R5-18</t>
        </is>
      </c>
      <c r="B260" s="8" t="inlineStr">
        <is>
          <t>HMRC Inheritance Tax Manual - IHTM11250 Exemptions: maintenance funds</t>
        </is>
      </c>
      <c r="C260" s="25" t="inlineStr">
        <is>
          <t>https://www.gov.uk/hmrc-internal-manuals/inheritance-tax-manual/ihtm11250</t>
        </is>
      </c>
      <c r="D260" s="25" t="inlineStr">
        <is>
          <t>texte administratif officiel</t>
        </is>
      </c>
      <c r="E260" s="25" t="inlineStr">
        <is>
          <t>2026-10-14</t>
        </is>
      </c>
      <c r="F260" s="25" t="inlineStr">
        <is>
          <t>page_lue</t>
        </is>
      </c>
      <c r="G260" s="25" t="inlineStr">
        <is>
          <t>R5 §1.10</t>
        </is>
      </c>
      <c r="H260" s="25" t="inlineStr">
        <is>
          <t>haute</t>
        </is>
      </c>
    </row>
    <row r="261">
      <c r="A261" s="25" t="inlineStr">
        <is>
          <t>R5-19</t>
        </is>
      </c>
      <c r="B261" s="8" t="inlineStr">
        <is>
          <t>HMRC - Guidance on capital taxation and the national heritage (chapitre 8 Maintenance Funds, mise à jour 23/08/2024)</t>
        </is>
      </c>
      <c r="C261" s="25" t="inlineStr">
        <is>
          <t>https://www.gov.uk/government/publications/capital-taxation-and-tax-exempt-heritage-assets/guidance-on-capital-taxation-and-the-national-heritage</t>
        </is>
      </c>
      <c r="D261" s="25" t="inlineStr">
        <is>
          <t>guide administratif officiel</t>
        </is>
      </c>
      <c r="E261" s="25" t="inlineStr">
        <is>
          <t>2026-10-14</t>
        </is>
      </c>
      <c r="F261" s="25" t="inlineStr">
        <is>
          <t>page_lue</t>
        </is>
      </c>
      <c r="G261" s="25" t="inlineStr">
        <is>
          <t>R5 §1.10</t>
        </is>
      </c>
      <c r="H261" s="25" t="inlineStr">
        <is>
          <t>haute</t>
        </is>
      </c>
    </row>
    <row r="262">
      <c r="A262" s="25" t="inlineStr">
        <is>
          <t>R5-20</t>
        </is>
      </c>
      <c r="B262" s="8" t="inlineStr">
        <is>
          <t>Spear's - How Lady Carnarvon turned Highclere Castle, the real Downton Abbey, into one of the most successful country homes (07/02/2022)</t>
        </is>
      </c>
      <c r="C262" s="25" t="inlineStr">
        <is>
          <t>https://spearswms.com/wealth/highclere-castle-lady-carnarvon/</t>
        </is>
      </c>
      <c r="D262" s="25" t="inlineStr">
        <is>
          <t>presse économique (entretien)</t>
        </is>
      </c>
      <c r="E262" s="25" t="inlineStr">
        <is>
          <t>2026-10-14</t>
        </is>
      </c>
      <c r="F262" s="25" t="inlineStr">
        <is>
          <t>page_lue</t>
        </is>
      </c>
      <c r="G262" s="25" t="inlineStr">
        <is>
          <t>R5 §1.11</t>
        </is>
      </c>
      <c r="H262" s="25" t="inlineStr">
        <is>
          <t>moyenne</t>
        </is>
      </c>
    </row>
    <row r="263">
      <c r="A263" s="25" t="inlineStr">
        <is>
          <t>R5-21</t>
        </is>
      </c>
      <c r="B263" s="8" t="inlineStr">
        <is>
          <t>The Irish National Stud DAC - Consolidated financial statements 2024 (PDF)</t>
        </is>
      </c>
      <c r="C263" s="25" t="inlineStr">
        <is>
          <t>https://irishnationalstud.ie/wp-content/uploads/2025/07/INS-CONSOL-Typesigned_-FY24.pdf</t>
        </is>
      </c>
      <c r="D263" s="25" t="inlineStr">
        <is>
          <t>comptes annuels audités (société publique)</t>
        </is>
      </c>
      <c r="E263" s="25" t="inlineStr">
        <is>
          <t>2026-10-14</t>
        </is>
      </c>
      <c r="F263" s="25" t="inlineStr">
        <is>
          <t>page_lue</t>
        </is>
      </c>
      <c r="G263" s="25" t="inlineStr">
        <is>
          <t>R5 §2.1</t>
        </is>
      </c>
      <c r="H263" s="25" t="inlineStr">
        <is>
          <t>haute</t>
        </is>
      </c>
    </row>
    <row r="264">
      <c r="A264" s="25" t="inlineStr">
        <is>
          <t>R5-22</t>
        </is>
      </c>
      <c r="B264" s="8" t="inlineStr">
        <is>
          <t>The Irish Field - Irish National Stud posts improved results (10/07/2026)</t>
        </is>
      </c>
      <c r="C264" s="25" t="inlineStr">
        <is>
          <t>https://www.theirishfield.ie/amp/bloodstock/news/irish-national-stud-posts-improved-results-923266</t>
        </is>
      </c>
      <c r="D264" s="25" t="inlineStr">
        <is>
          <t>presse spécialisée</t>
        </is>
      </c>
      <c r="E264" s="25" t="inlineStr">
        <is>
          <t>2026-10-14</t>
        </is>
      </c>
      <c r="F264" s="25" t="inlineStr">
        <is>
          <t>page_lue</t>
        </is>
      </c>
      <c r="G264" s="25" t="inlineStr">
        <is>
          <t>R5 §2.1</t>
        </is>
      </c>
      <c r="H264" s="25" t="inlineStr">
        <is>
          <t>moyenne</t>
        </is>
      </c>
    </row>
    <row r="265">
      <c r="A265" s="25" t="inlineStr">
        <is>
          <t>R5-23</t>
        </is>
      </c>
      <c r="B265" s="8" t="inlineStr">
        <is>
          <t>Castle Leslie Estate - Hospitality Year End Report 2023 (No financials) (PDF)</t>
        </is>
      </c>
      <c r="C265" s="25" t="inlineStr">
        <is>
          <t>https://www.castleleslie.com/wp-content/uploads/2024/08/CLE-Hospitality-Year-End-Report-2023-7-No-financials.pdf</t>
        </is>
      </c>
      <c r="D265" s="25" t="inlineStr">
        <is>
          <t>rapport d'entreprise (sans comptes)</t>
        </is>
      </c>
      <c r="E265" s="25" t="inlineStr">
        <is>
          <t>2026-10-14</t>
        </is>
      </c>
      <c r="F265" s="25" t="inlineStr">
        <is>
          <t>page_lue</t>
        </is>
      </c>
      <c r="G265" s="25" t="inlineStr">
        <is>
          <t>R5 §2.2</t>
        </is>
      </c>
      <c r="H265" s="25" t="inlineStr">
        <is>
          <t>moyenne</t>
        </is>
      </c>
    </row>
    <row r="266">
      <c r="A266" s="25" t="inlineStr">
        <is>
          <t>R5-24</t>
        </is>
      </c>
      <c r="B266" s="8" t="inlineStr">
        <is>
          <t>Castle Leslie Estate - Welcome to the Castle Leslie Equestrian Centre</t>
        </is>
      </c>
      <c r="C266" s="25" t="inlineStr">
        <is>
          <t>https://www.castleleslie.com/equestrian/</t>
        </is>
      </c>
      <c r="D266" s="25" t="inlineStr">
        <is>
          <t>site officiel du domaine</t>
        </is>
      </c>
      <c r="E266" s="25" t="inlineStr">
        <is>
          <t>2026-10-14</t>
        </is>
      </c>
      <c r="F266" s="25" t="inlineStr">
        <is>
          <t>page_lue</t>
        </is>
      </c>
      <c r="G266" s="25" t="inlineStr">
        <is>
          <t>R5 §2.2</t>
        </is>
      </c>
      <c r="H266" s="25" t="inlineStr">
        <is>
          <t>moyenne</t>
        </is>
      </c>
    </row>
    <row r="267">
      <c r="A267" s="25" t="inlineStr">
        <is>
          <t>R5-25</t>
        </is>
      </c>
      <c r="B267" s="8" t="inlineStr">
        <is>
          <t>Lampoon Magazine - Chronicles from Reschio: 1500 Hectares of Regenerated Forest (Carlo Mazzoni, 15/08/2025)</t>
        </is>
      </c>
      <c r="C267" s="25" t="inlineStr">
        <is>
          <t>https://lampoonmagazine.com/reschio-benedikt-bolza-architecture-estate-castle-farmhouses-forest-umbria-nencia-corsini/</t>
        </is>
      </c>
      <c r="D267" s="25" t="inlineStr">
        <is>
          <t>presse magazine</t>
        </is>
      </c>
      <c r="E267" s="25" t="inlineStr">
        <is>
          <t>2026-10-14</t>
        </is>
      </c>
      <c r="F267" s="25" t="inlineStr">
        <is>
          <t>page_lue</t>
        </is>
      </c>
      <c r="G267" s="25" t="inlineStr">
        <is>
          <t>R5 §3.1</t>
        </is>
      </c>
      <c r="H267" s="25" t="inlineStr">
        <is>
          <t>moyenne</t>
        </is>
      </c>
    </row>
    <row r="268">
      <c r="A268" s="25" t="inlineStr">
        <is>
          <t>R5-26</t>
        </is>
      </c>
      <c r="B268" s="8" t="inlineStr">
        <is>
          <t>Reschio - site officiel, page d'accueil</t>
        </is>
      </c>
      <c r="C268" s="25" t="inlineStr">
        <is>
          <t>https://www.reschio.com/</t>
        </is>
      </c>
      <c r="D268" s="25" t="inlineStr">
        <is>
          <t>site officiel du domaine</t>
        </is>
      </c>
      <c r="E268" s="25" t="inlineStr">
        <is>
          <t>2026-10-14</t>
        </is>
      </c>
      <c r="F268" s="25" t="inlineStr">
        <is>
          <t>page_lue</t>
        </is>
      </c>
      <c r="G268" s="25" t="inlineStr">
        <is>
          <t>R5 §3.1</t>
        </is>
      </c>
      <c r="H268" s="25" t="inlineStr">
        <is>
          <t>moyenne</t>
        </is>
      </c>
    </row>
    <row r="269">
      <c r="A269" s="25" t="inlineStr">
        <is>
          <t>R5-27</t>
        </is>
      </c>
      <c r="B269" s="8" t="inlineStr">
        <is>
          <t>Reschio - Own a House</t>
        </is>
      </c>
      <c r="C269" s="25" t="inlineStr">
        <is>
          <t>https://www.reschio.com/own-a-house</t>
        </is>
      </c>
      <c r="D269" s="25" t="inlineStr">
        <is>
          <t>site officiel du domaine</t>
        </is>
      </c>
      <c r="E269" s="25" t="inlineStr">
        <is>
          <t>2026-10-14</t>
        </is>
      </c>
      <c r="F269" s="25" t="inlineStr">
        <is>
          <t>page_lue</t>
        </is>
      </c>
      <c r="G269" s="25" t="inlineStr">
        <is>
          <t>R5 §3.1</t>
        </is>
      </c>
      <c r="H269" s="25" t="inlineStr">
        <is>
          <t>moyenne</t>
        </is>
      </c>
    </row>
    <row r="270">
      <c r="A270" s="25" t="inlineStr">
        <is>
          <t>R5-28</t>
        </is>
      </c>
      <c r="B270" s="8" t="inlineStr">
        <is>
          <t>Reschio - Horses</t>
        </is>
      </c>
      <c r="C270" s="25" t="inlineStr">
        <is>
          <t>https://www.reschio.com/horses</t>
        </is>
      </c>
      <c r="D270" s="25" t="inlineStr">
        <is>
          <t>site officiel du domaine</t>
        </is>
      </c>
      <c r="E270" s="25" t="inlineStr">
        <is>
          <t>2026-10-14</t>
        </is>
      </c>
      <c r="F270" s="25" t="inlineStr">
        <is>
          <t>page_lue</t>
        </is>
      </c>
      <c r="G270" s="25" t="inlineStr">
        <is>
          <t>R5 §3.1</t>
        </is>
      </c>
      <c r="H270" s="25" t="inlineStr">
        <is>
          <t>moyenne</t>
        </is>
      </c>
    </row>
    <row r="271">
      <c r="A271" s="25" t="inlineStr">
        <is>
          <t>R5-29</t>
        </is>
      </c>
      <c r="B271" s="8" t="inlineStr">
        <is>
          <t>Résultats de recherche web (Reschio: 1200 ou 1500 ha, hôtel de 36 chambres, 20 maisons vendues selon une source plus ancienne)</t>
        </is>
      </c>
      <c r="C271" s="25" t="inlineStr">
        <is>
          <t>https://www.culturedmag.com/article/2021/06/28/castello-di-reschio-opens-as-unparalleled-mecca-of-italian-authenticity</t>
        </is>
      </c>
      <c r="D271" s="25" t="inlineStr">
        <is>
          <t>presse (vu en extrait de recherche seulement)</t>
        </is>
      </c>
      <c r="E271" s="25" t="inlineStr">
        <is>
          <t>2026-10-14</t>
        </is>
      </c>
      <c r="F271" s="25" t="inlineStr">
        <is>
          <t>extrait</t>
        </is>
      </c>
      <c r="G271" s="25" t="inlineStr">
        <is>
          <t>R5 §3.1</t>
        </is>
      </c>
      <c r="H271" s="25" t="inlineStr">
        <is>
          <t>faible</t>
        </is>
      </c>
    </row>
    <row r="272">
      <c r="A272" s="25" t="inlineStr">
        <is>
          <t>R5-30</t>
        </is>
      </c>
      <c r="B272" s="8" t="inlineStr">
        <is>
          <t>snobb.net - La Donaira: pure luxury, pure nature and pure conscience (Karethe Linaae, 01/07/2020)</t>
        </is>
      </c>
      <c r="C272" s="25" t="inlineStr">
        <is>
          <t>https://snobb.net/2020/07/la-donaira-pure-luxury-pure-nature-and-pure-conscience</t>
        </is>
      </c>
      <c r="D272" s="25" t="inlineStr">
        <is>
          <t>presse magazine</t>
        </is>
      </c>
      <c r="E272" s="25" t="inlineStr">
        <is>
          <t>2026-10-14</t>
        </is>
      </c>
      <c r="F272" s="25" t="inlineStr">
        <is>
          <t>page_lue</t>
        </is>
      </c>
      <c r="G272" s="25" t="inlineStr">
        <is>
          <t>R5 §4.1</t>
        </is>
      </c>
      <c r="H272" s="25" t="inlineStr">
        <is>
          <t>faible</t>
        </is>
      </c>
    </row>
    <row r="273">
      <c r="A273" s="25" t="inlineStr">
        <is>
          <t>R5-31</t>
        </is>
      </c>
      <c r="B273" s="8" t="inlineStr">
        <is>
          <t>La Donaira - site officiel, page d'accueil</t>
        </is>
      </c>
      <c r="C273" s="25" t="inlineStr">
        <is>
          <t>https://www.ladonaira.com/</t>
        </is>
      </c>
      <c r="D273" s="25" t="inlineStr">
        <is>
          <t>site officiel du domaine</t>
        </is>
      </c>
      <c r="E273" s="25" t="inlineStr">
        <is>
          <t>2026-10-14</t>
        </is>
      </c>
      <c r="F273" s="25" t="inlineStr">
        <is>
          <t>page_lue</t>
        </is>
      </c>
      <c r="G273" s="25" t="inlineStr">
        <is>
          <t>R5 §4.1</t>
        </is>
      </c>
      <c r="H273" s="25" t="inlineStr">
        <is>
          <t>moyenne</t>
        </is>
      </c>
    </row>
    <row r="274">
      <c r="A274" s="25" t="inlineStr">
        <is>
          <t>R5-32</t>
        </is>
      </c>
      <c r="B274" s="8" t="inlineStr">
        <is>
          <t>La Donaira - Lusitanos</t>
        </is>
      </c>
      <c r="C274" s="25" t="inlineStr">
        <is>
          <t>https://www.ladonaira.com/lusitanos</t>
        </is>
      </c>
      <c r="D274" s="25" t="inlineStr">
        <is>
          <t>site officiel du domaine</t>
        </is>
      </c>
      <c r="E274" s="25" t="inlineStr">
        <is>
          <t>2026-10-14</t>
        </is>
      </c>
      <c r="F274" s="25" t="inlineStr">
        <is>
          <t>page_lue</t>
        </is>
      </c>
      <c r="G274" s="25" t="inlineStr">
        <is>
          <t>R5 §4.1</t>
        </is>
      </c>
      <c r="H274" s="25" t="inlineStr">
        <is>
          <t>moyenne</t>
        </is>
      </c>
    </row>
    <row r="275">
      <c r="A275" s="25" t="inlineStr">
        <is>
          <t>R5-33</t>
        </is>
      </c>
      <c r="B275" s="8" t="inlineStr">
        <is>
          <t>La Donaira - Lusitanos for sale</t>
        </is>
      </c>
      <c r="C275" s="25" t="inlineStr">
        <is>
          <t>https://www.ladonaira.com/lusitanos-for-sale</t>
        </is>
      </c>
      <c r="D275" s="25" t="inlineStr">
        <is>
          <t>site officiel du domaine</t>
        </is>
      </c>
      <c r="E275" s="25" t="inlineStr">
        <is>
          <t>2026-10-14</t>
        </is>
      </c>
      <c r="F275" s="25" t="inlineStr">
        <is>
          <t>page_lue</t>
        </is>
      </c>
      <c r="G275" s="25" t="inlineStr">
        <is>
          <t>R5 §4.1</t>
        </is>
      </c>
      <c r="H275" s="25" t="inlineStr">
        <is>
          <t>moyenne</t>
        </is>
      </c>
    </row>
    <row r="276">
      <c r="A276" s="25" t="inlineStr">
        <is>
          <t>R5-34</t>
        </is>
      </c>
      <c r="B276" s="8" t="inlineStr">
        <is>
          <t>Biltmore - Biltmore House by the Numbers (fact sheet PDF, 2018)</t>
        </is>
      </c>
      <c r="C276" s="25" t="inlineStr">
        <is>
          <t>https://www.biltmore.com/wp-content/uploads/2019/07/FactSheet_BiltmoreBytheNumbers.pdf</t>
        </is>
      </c>
      <c r="D276" s="25" t="inlineStr">
        <is>
          <t>fiche officielle de l'entreprise</t>
        </is>
      </c>
      <c r="E276" s="25" t="inlineStr">
        <is>
          <t>2026-10-14</t>
        </is>
      </c>
      <c r="F276" s="25" t="inlineStr">
        <is>
          <t>page_lue</t>
        </is>
      </c>
      <c r="G276" s="25" t="inlineStr">
        <is>
          <t>R5 §5.1</t>
        </is>
      </c>
      <c r="H276" s="25" t="inlineStr">
        <is>
          <t>moyenne</t>
        </is>
      </c>
    </row>
    <row r="277">
      <c r="A277" s="25" t="inlineStr">
        <is>
          <t>R5-35</t>
        </is>
      </c>
      <c r="B277" s="8" t="inlineStr">
        <is>
          <t>Biltmore Report to Our Community 2024 - Economic Impact (vu en résultat de recherche, page vide pour l'outil)</t>
        </is>
      </c>
      <c r="C277" s="25" t="inlineStr">
        <is>
          <t>https://compassmedia.mydigitalpublication.com/article/Economic+Impact/5015516/850075/article.html</t>
        </is>
      </c>
      <c r="D277" s="25" t="inlineStr">
        <is>
          <t>rapport d'entreprise</t>
        </is>
      </c>
      <c r="E277" s="25" t="inlineStr">
        <is>
          <t>2026-10-14</t>
        </is>
      </c>
      <c r="F277" s="25" t="inlineStr">
        <is>
          <t>extrait</t>
        </is>
      </c>
      <c r="G277" s="25" t="inlineStr">
        <is>
          <t>R5 §5.1</t>
        </is>
      </c>
      <c r="H277" s="25" t="inlineStr">
        <is>
          <t>moyenne</t>
        </is>
      </c>
    </row>
    <row r="278">
      <c r="A278" s="25" t="inlineStr">
        <is>
          <t>R5-36</t>
        </is>
      </c>
      <c r="B278" s="8" t="inlineStr">
        <is>
          <t>TrueNicks - Into Mischief, Vekoma Lead 2026 Spendthrift Stud Roster (07/10/2025)</t>
        </is>
      </c>
      <c r="C278" s="25" t="inlineStr">
        <is>
          <t>https://truenicks.com/articles/287787/into-mischief-vekoma-lead-2026-spendthrift-stud-roster</t>
        </is>
      </c>
      <c r="D278" s="25" t="inlineStr">
        <is>
          <t>presse spécialisée hippique</t>
        </is>
      </c>
      <c r="E278" s="25" t="inlineStr">
        <is>
          <t>2026-10-14</t>
        </is>
      </c>
      <c r="F278" s="25" t="inlineStr">
        <is>
          <t>page_lue</t>
        </is>
      </c>
      <c r="G278" s="25" t="inlineStr">
        <is>
          <t>R5 §5.2</t>
        </is>
      </c>
      <c r="H278" s="25" t="inlineStr">
        <is>
          <t>moyenne</t>
        </is>
      </c>
    </row>
    <row r="279">
      <c r="A279" s="25" t="inlineStr">
        <is>
          <t>R5-37</t>
        </is>
      </c>
      <c r="B279" s="8" t="inlineStr">
        <is>
          <t>WKYT - Into Mischief's Derby legacy: Lexington stallion could make history again (01/05/2026)</t>
        </is>
      </c>
      <c r="C279" s="25" t="inlineStr">
        <is>
          <t>https://www.wkyt.com/2026/05/01/into-mischiefs-derby-legacy-lexington-stallion-could-make-history-again</t>
        </is>
      </c>
      <c r="D279" s="25" t="inlineStr">
        <is>
          <t>presse locale</t>
        </is>
      </c>
      <c r="E279" s="25" t="inlineStr">
        <is>
          <t>2026-10-14</t>
        </is>
      </c>
      <c r="F279" s="25" t="inlineStr">
        <is>
          <t>page_lue</t>
        </is>
      </c>
      <c r="G279" s="25" t="inlineStr">
        <is>
          <t>R5 §5.2</t>
        </is>
      </c>
      <c r="H279" s="25" t="inlineStr">
        <is>
          <t>moyenne</t>
        </is>
      </c>
    </row>
    <row r="280">
      <c r="A280" s="25" t="inlineStr">
        <is>
          <t>R5-38</t>
        </is>
      </c>
      <c r="B280" s="8" t="inlineStr">
        <is>
          <t>The Land Report - Wellington Equestrian Market Jumps to $692,000 Per Acre (Cary Estes, 01/05/2023)</t>
        </is>
      </c>
      <c r="C280" s="25" t="inlineStr">
        <is>
          <t>https://landreport.com/wellington-692000-per-acre</t>
        </is>
      </c>
      <c r="D280" s="25" t="inlineStr">
        <is>
          <t>presse spécialisée foncier</t>
        </is>
      </c>
      <c r="E280" s="25" t="inlineStr">
        <is>
          <t>2026-10-14</t>
        </is>
      </c>
      <c r="F280" s="25" t="inlineStr">
        <is>
          <t>page_lue</t>
        </is>
      </c>
      <c r="G280" s="25" t="inlineStr">
        <is>
          <t>R5 §5.3</t>
        </is>
      </c>
      <c r="H280" s="25" t="inlineStr">
        <is>
          <t>moyenne</t>
        </is>
      </c>
    </row>
    <row r="281">
      <c r="A281" s="25" t="inlineStr">
        <is>
          <t>R5-39</t>
        </is>
      </c>
      <c r="B281" s="8" t="inlineStr">
        <is>
          <t>Town-Crier - Study: 2025 WEF Delivered $538.2 Million In Economic Impact (05/09/2025)</t>
        </is>
      </c>
      <c r="C281" s="25" t="inlineStr">
        <is>
          <t>https://gotowncrier.com/2025/09/study-2025-wef-delivered-538-2-million-in-economic-impact</t>
        </is>
      </c>
      <c r="D281" s="25" t="inlineStr">
        <is>
          <t>presse locale</t>
        </is>
      </c>
      <c r="E281" s="25" t="inlineStr">
        <is>
          <t>2026-10-14</t>
        </is>
      </c>
      <c r="F281" s="25" t="inlineStr">
        <is>
          <t>page_lue</t>
        </is>
      </c>
      <c r="G281" s="25" t="inlineStr">
        <is>
          <t>R5 §5.3</t>
        </is>
      </c>
      <c r="H281" s="25" t="inlineStr">
        <is>
          <t>moyenne</t>
        </is>
      </c>
    </row>
    <row r="282">
      <c r="A282" s="25" t="inlineStr">
        <is>
          <t>R5-40</t>
        </is>
      </c>
      <c r="B282" s="8" t="inlineStr">
        <is>
          <t>Wentworth Woodhouse Preservation Trust - Trustees' report and consolidated financial statements year ended 31 March 2025 (PDF Companies House)</t>
        </is>
      </c>
      <c r="C282" s="25" t="inlineStr">
        <is>
          <t>https://find-and-update.company-information.service.gov.uk/company/08809187/filing-history/MzQ5MzQyNzI3MmFkaXF6a2N4/document?format=pdf&amp;download=0</t>
        </is>
      </c>
      <c r="D282" s="25" t="inlineStr">
        <is>
          <t>comptes annuels audités de charity (registre officiel)</t>
        </is>
      </c>
      <c r="E282" s="25" t="inlineStr">
        <is>
          <t>2026-10-14</t>
        </is>
      </c>
      <c r="F282" s="25" t="inlineStr">
        <is>
          <t>page_lue</t>
        </is>
      </c>
      <c r="G282" s="25" t="inlineStr">
        <is>
          <t>R5 §6.1</t>
        </is>
      </c>
      <c r="H282" s="25" t="inlineStr">
        <is>
          <t>haute</t>
        </is>
      </c>
    </row>
    <row r="283">
      <c r="A283" s="25" t="inlineStr">
        <is>
          <t>R5-41</t>
        </is>
      </c>
      <c r="B283" s="8" t="inlineStr">
        <is>
          <t>Résultat de recherche - Wentworth Woodhouse stately home saved with 7m sale to trust (Batley News / Dewsbury Reporter, page 403)</t>
        </is>
      </c>
      <c r="C283" s="25" t="inlineStr">
        <is>
          <t>https://www.batleynews.co.uk/news/breaking-yorkshires-wentworth-woodhouse-stately-home-saved-aps7m-sale-trust-477792</t>
        </is>
      </c>
      <c r="D283" s="25" t="inlineStr">
        <is>
          <t>presse locale (vu en extrait de recherche seulement)</t>
        </is>
      </c>
      <c r="E283" s="25" t="inlineStr">
        <is>
          <t>2026-10-14</t>
        </is>
      </c>
      <c r="F283" s="25" t="inlineStr">
        <is>
          <t>extrait</t>
        </is>
      </c>
      <c r="G283" s="25" t="inlineStr">
        <is>
          <t>R5 §6.1</t>
        </is>
      </c>
      <c r="H283" s="25" t="inlineStr">
        <is>
          <t>moyenne</t>
        </is>
      </c>
    </row>
    <row r="284">
      <c r="A284" s="25" t="inlineStr">
        <is>
          <t>R5-42</t>
        </is>
      </c>
      <c r="B284" s="8" t="inlineStr">
        <is>
          <t>Travel Extra - Adare Manor hotel resort reports third successive loss for 2025 (31/07/2026)</t>
        </is>
      </c>
      <c r="C284" s="25" t="inlineStr">
        <is>
          <t>https://www.travelextra.ie/adare-manor-hotel-resort-reports-third-successive-loss-for-2025/</t>
        </is>
      </c>
      <c r="D284" s="25" t="inlineStr">
        <is>
          <t>presse professionnelle tourisme</t>
        </is>
      </c>
      <c r="E284" s="25" t="inlineStr">
        <is>
          <t>2026-10-14</t>
        </is>
      </c>
      <c r="F284" s="25" t="inlineStr">
        <is>
          <t>page_lue</t>
        </is>
      </c>
      <c r="G284" s="25" t="inlineStr">
        <is>
          <t>R5 §2.3</t>
        </is>
      </c>
      <c r="H284" s="25" t="inlineStr">
        <is>
          <t>moyenne</t>
        </is>
      </c>
    </row>
    <row r="285">
      <c r="A285" s="25" t="inlineStr">
        <is>
          <t>R5-43</t>
        </is>
      </c>
      <c r="B285" s="8" t="inlineStr">
        <is>
          <t>Travel Extra - Mount Juliet estate back in the black as it reports 9.38m profit (29/11/2024)</t>
        </is>
      </c>
      <c r="C285" s="25" t="inlineStr">
        <is>
          <t>https://www.travelextra.ie/mount-juliet-estate-back-in-the-black-as-it-reports-e9-38m-profit/</t>
        </is>
      </c>
      <c r="D285" s="25" t="inlineStr">
        <is>
          <t>presse professionnelle tourisme</t>
        </is>
      </c>
      <c r="E285" s="25" t="inlineStr">
        <is>
          <t>2026-10-14</t>
        </is>
      </c>
      <c r="F285" s="25" t="inlineStr">
        <is>
          <t>page_lue</t>
        </is>
      </c>
      <c r="G285" s="25" t="inlineStr">
        <is>
          <t>R5 §2.3</t>
        </is>
      </c>
      <c r="H285" s="25" t="inlineStr">
        <is>
          <t>moyenne</t>
        </is>
      </c>
    </row>
    <row r="286">
      <c r="A286" s="25" t="inlineStr">
        <is>
          <t>R5-44</t>
        </is>
      </c>
      <c r="B286" s="8" t="inlineStr">
        <is>
          <t>Irish Times - Mount Juliet golf resort profits hit 9.4m (28/11/2024) (chiffre d'affaires vu en extrait de recherche seulement)</t>
        </is>
      </c>
      <c r="C286" s="25" t="inlineStr">
        <is>
          <t>https://irishtimes.com/business/2024/11/28/mount-juliet-golf-resort-profits-hit-94m</t>
        </is>
      </c>
      <c r="D286" s="25" t="inlineStr">
        <is>
          <t>presse économique</t>
        </is>
      </c>
      <c r="E286" s="25" t="inlineStr">
        <is>
          <t>2026-10-14</t>
        </is>
      </c>
      <c r="F286" s="25" t="inlineStr">
        <is>
          <t>extrait</t>
        </is>
      </c>
      <c r="G286" s="25" t="inlineStr">
        <is>
          <t>R5 §2.3</t>
        </is>
      </c>
      <c r="H286" s="25" t="inlineStr">
        <is>
          <t>moyenne</t>
        </is>
      </c>
    </row>
    <row r="287">
      <c r="A287" s="25" t="inlineStr">
        <is>
          <t>R5-45</t>
        </is>
      </c>
      <c r="B287" s="8" t="inlineStr">
        <is>
          <t>Explore West Norfolk (Borough Council of King's Lynn &amp; West Norfolk) - Holkham Hall</t>
        </is>
      </c>
      <c r="C287" s="25" t="inlineStr">
        <is>
          <t>https://explorewestnorfolk.co.uk/venues/holkham-hall-63</t>
        </is>
      </c>
      <c r="D287" s="25" t="inlineStr">
        <is>
          <t>site touristique d'une collectivité</t>
        </is>
      </c>
      <c r="E287" s="25" t="inlineStr">
        <is>
          <t>2026-10-14</t>
        </is>
      </c>
      <c r="F287" s="25" t="inlineStr">
        <is>
          <t>page_lue</t>
        </is>
      </c>
      <c r="G287" s="25" t="inlineStr">
        <is>
          <t>R5 §1.12</t>
        </is>
      </c>
      <c r="H287" s="25" t="inlineStr">
        <is>
          <t>moyenne</t>
        </is>
      </c>
    </row>
    <row r="288">
      <c r="A288" s="25" t="inlineStr">
        <is>
          <t>R5-46</t>
        </is>
      </c>
      <c r="B288" s="8" t="inlineStr">
        <is>
          <t>Résultats de recherche sur Holkham (conférence St George's Society 2017, rachat de McDonnell Caravans en octobre 2024)</t>
        </is>
      </c>
      <c r="C288" s="25" t="inlineStr">
        <is>
          <t>https://www.stgeorgessociety.org/events/2017/11/08/holkam-a-family-home-for-over-400-years-fty8f</t>
        </is>
      </c>
      <c r="D288" s="25" t="inlineStr">
        <is>
          <t>annonce d'événement et presse (vus en extrait de recherche seulement)</t>
        </is>
      </c>
      <c r="E288" s="25" t="inlineStr">
        <is>
          <t>2026-10-14</t>
        </is>
      </c>
      <c r="F288" s="25" t="inlineStr">
        <is>
          <t>extrait</t>
        </is>
      </c>
      <c r="G288" s="25" t="inlineStr">
        <is>
          <t>R5 §1.12</t>
        </is>
      </c>
      <c r="H288" s="25" t="inlineStr">
        <is>
          <t>faible</t>
        </is>
      </c>
    </row>
    <row r="289">
      <c r="A289" s="25" t="inlineStr">
        <is>
          <t>R5-47</t>
        </is>
      </c>
      <c r="B289" s="8" t="inlineStr">
        <is>
          <t>Assemblée nationale - Question écrite n° 13372 (17e législature), Droit de préemption concernant le bâti agricole, réponse publiée au JO le 28/04/2026 p. 3676</t>
        </is>
      </c>
      <c r="C289" s="25" t="inlineStr">
        <is>
          <t>https://www.assemblee-nationale.fr/dyn/17/questions/QANR5L17QE13372</t>
        </is>
      </c>
      <c r="D289" s="25" t="inlineStr">
        <is>
          <t>réponse ministérielle officielle</t>
        </is>
      </c>
      <c r="E289" s="25" t="inlineStr">
        <is>
          <t>2026-10-14</t>
        </is>
      </c>
      <c r="F289" s="25" t="inlineStr">
        <is>
          <t>page_lue</t>
        </is>
      </c>
      <c r="G289" s="25" t="inlineStr">
        <is>
          <t>R5 §8.2</t>
        </is>
      </c>
      <c r="H289" s="25" t="inlineStr">
        <is>
          <t>haute</t>
        </is>
      </c>
    </row>
    <row r="290">
      <c r="A290" s="25" t="inlineStr">
        <is>
          <t>R5-48</t>
        </is>
      </c>
      <c r="B290" s="8" t="inlineStr">
        <is>
          <t>Assemblée nationale - Question écrite n° 91548 (14e législature), changement de destination en zone A ou N (CDPENAF, CDNPS), réponse publiée au JO le 13/09/2016 p. 8216</t>
        </is>
      </c>
      <c r="C290" s="25" t="inlineStr">
        <is>
          <t>https://www.assemblee-nationale.fr/dyn/14/questions/QANR5L14QE91548</t>
        </is>
      </c>
      <c r="D290" s="25" t="inlineStr">
        <is>
          <t>réponse ministérielle officielle</t>
        </is>
      </c>
      <c r="E290" s="25" t="inlineStr">
        <is>
          <t>2026-10-14</t>
        </is>
      </c>
      <c r="F290" s="25" t="inlineStr">
        <is>
          <t>page_lue</t>
        </is>
      </c>
      <c r="G290" s="25" t="inlineStr">
        <is>
          <t>R5 §8.1</t>
        </is>
      </c>
      <c r="H290" s="25" t="inlineStr">
        <is>
          <t>haute</t>
        </is>
      </c>
    </row>
    <row r="291">
      <c r="A291" s="25" t="inlineStr">
        <is>
          <t>R5-49</t>
        </is>
      </c>
      <c r="B291" s="8" t="inlineStr">
        <is>
          <t>Companies House - recherche Coke Estates Limited (01171497) et historiques de dépôts de Coke Estates et Holkham Holiday Parks Limited (11802261)</t>
        </is>
      </c>
      <c r="C291" s="25" t="inlineStr">
        <is>
          <t>https://find-and-update.company-information.service.gov.uk/company/01171497/filing-history?category=accounts</t>
        </is>
      </c>
      <c r="D291" s="25" t="inlineStr">
        <is>
          <t>registre officiel</t>
        </is>
      </c>
      <c r="E291" s="25" t="inlineStr">
        <is>
          <t>2026-10-14</t>
        </is>
      </c>
      <c r="F291" s="25" t="inlineStr">
        <is>
          <t>page_lue</t>
        </is>
      </c>
      <c r="G291" s="25" t="inlineStr">
        <is>
          <t>R5 §1.12</t>
        </is>
      </c>
      <c r="H291" s="25" t="inlineStr">
        <is>
          <t>haute</t>
        </is>
      </c>
    </row>
    <row r="292">
      <c r="A292" s="25" t="inlineStr">
        <is>
          <t>R5-50</t>
        </is>
      </c>
      <c r="B292" s="8" t="inlineStr">
        <is>
          <t>Eurojuris (A. Gaucher-Piola, avocat) - Droit de préemption de la SAFER sur les bâtiments agricoles (20/09/2007)</t>
        </is>
      </c>
      <c r="C292" s="25" t="inlineStr">
        <is>
          <t>https://www.eurojuris.fr/urbanisme/articles/droit-preemption-safer-sur-batiments-agricoles-6456.htm</t>
        </is>
      </c>
      <c r="D292" s="25" t="inlineStr">
        <is>
          <t>article d'avocat (ancien)</t>
        </is>
      </c>
      <c r="E292" s="25" t="inlineStr">
        <is>
          <t>2026-10-14</t>
        </is>
      </c>
      <c r="F292" s="25" t="inlineStr">
        <is>
          <t>page_lue</t>
        </is>
      </c>
      <c r="G292" s="25" t="inlineStr">
        <is>
          <t>R5 §8.2</t>
        </is>
      </c>
      <c r="H292" s="25" t="inlineStr">
        <is>
          <t>faible</t>
        </is>
      </c>
    </row>
    <row r="293">
      <c r="A293" s="25" t="inlineStr">
        <is>
          <t>R5-51</t>
        </is>
      </c>
      <c r="B293" s="8" t="inlineStr">
        <is>
          <t>Résultats de recherche Historic Houses (documents non ouverts: vat-summary-v10.pdf, rapport TVA 2025, infographie 2023) mentionnant une dépense annuelle d'environ 160 millions de livres</t>
        </is>
      </c>
      <c r="C293" s="25" t="inlineStr">
        <is>
          <t>https://historichouses.org/app/uploads/2025/01/hh-vat-research-report-final-v4-20250128.pdf</t>
        </is>
      </c>
      <c r="D293" s="25" t="inlineStr">
        <is>
          <t>documents d'association (vus en extrait de recherche seulement, document exact non identifié)</t>
        </is>
      </c>
      <c r="E293" s="25" t="inlineStr">
        <is>
          <t>2026-10-14</t>
        </is>
      </c>
      <c r="F293" s="25" t="inlineStr">
        <is>
          <t>extrait</t>
        </is>
      </c>
      <c r="G293" s="25" t="inlineStr">
        <is>
          <t>R5 §1.10</t>
        </is>
      </c>
      <c r="H293" s="25" t="inlineStr">
        <is>
          <t>faible</t>
        </is>
      </c>
    </row>
    <row r="294">
      <c r="A294" s="25" t="inlineStr">
        <is>
          <t>R5-52</t>
        </is>
      </c>
      <c r="B294" s="8" t="inlineStr">
        <is>
          <t>Résultats de recherche Adare Manor (Irish Examiner, Limerick Leader: Tizzard Holdings, statut unlimited, pas d'obligation de dépôt des comptes)</t>
        </is>
      </c>
      <c r="C294" s="25" t="inlineStr">
        <is>
          <t>https://www.irishexaminer.com/business/companies/arid-41888824.html</t>
        </is>
      </c>
      <c r="D294" s="25" t="inlineStr">
        <is>
          <t>presse économique (vue en extrait de recherche seulement)</t>
        </is>
      </c>
      <c r="E294" s="25" t="inlineStr">
        <is>
          <t>2026-10-14</t>
        </is>
      </c>
      <c r="F294" s="25" t="inlineStr">
        <is>
          <t>extrait</t>
        </is>
      </c>
      <c r="G294" s="25" t="inlineStr">
        <is>
          <t>R5 §2.3</t>
        </is>
      </c>
      <c r="H294" s="25" t="inlineStr">
        <is>
          <t>moyenne</t>
        </is>
      </c>
    </row>
    <row r="295">
      <c r="A295" s="25" t="inlineStr">
        <is>
          <t>R6-01</t>
        </is>
      </c>
      <c r="B295" s="8" t="inlineStr">
        <is>
          <t>IFCE-OESC — Chiffres clés 2025, bilan statistique de la filière équine française, données 2024 (dépliant PDF, créé le 13/03/2026)</t>
        </is>
      </c>
      <c r="C295" s="25" t="inlineStr">
        <is>
          <t>https://equipedia.ifce.fr/bibliotheque/6.Statistiques/6.1.Ecus-depliant/IFCE-depliant-chiffres-cles-2025.pdf</t>
        </is>
      </c>
      <c r="D295" s="25" t="inlineStr">
        <is>
          <t>statistique officielle (établissement public)</t>
        </is>
      </c>
      <c r="E295" s="25" t="inlineStr">
        <is>
          <t>2026-10-14</t>
        </is>
      </c>
      <c r="F295" s="25" t="inlineStr">
        <is>
          <t>page_lue</t>
        </is>
      </c>
      <c r="G295" s="25" t="inlineStr">
        <is>
          <t>§1 filière, §5 courses, §7 compétitions</t>
        </is>
      </c>
      <c r="H295" s="25" t="inlineStr">
        <is>
          <t>haute</t>
        </is>
      </c>
    </row>
    <row r="296">
      <c r="A296" s="25" t="inlineStr">
        <is>
          <t>R6-02</t>
        </is>
      </c>
      <c r="B296" s="8" t="inlineStr">
        <is>
          <t>Inosys Réseaux d'élevage / Réseau Équin (Idele, IFCE, Chambres d'agriculture) — Cas-type EQCE3 « Centre équestre tout public Compétition », campagne 2025 (PDF, mars 2026, réf. 00 26 602 014)</t>
        </is>
      </c>
      <c r="C296" s="25" t="inlineStr">
        <is>
          <t>https://chevaux-normandie.com/wp-content/uploads/2026/06/Cas-type-competition_2025.pdf</t>
        </is>
      </c>
      <c r="D296" s="25" t="inlineStr">
        <is>
          <t>référence technico-économique (instituts techniques)</t>
        </is>
      </c>
      <c r="E296" s="25" t="inlineStr">
        <is>
          <t>2026-10-14</t>
        </is>
      </c>
      <c r="F296" s="25" t="inlineStr">
        <is>
          <t>page_lue</t>
        </is>
      </c>
      <c r="G296" s="25" t="inlineStr">
        <is>
          <t>§2 références, §3 pension, §9 tableau modèles</t>
        </is>
      </c>
      <c r="H296" s="25" t="inlineStr">
        <is>
          <t>haute</t>
        </is>
      </c>
    </row>
    <row r="297">
      <c r="A297" s="25" t="inlineStr">
        <is>
          <t>R6-03</t>
        </is>
      </c>
      <c r="B297" s="8" t="inlineStr">
        <is>
          <t>Réseau Équin (Idele, IFCE, Chambres d'agriculture, Conseils des chevaux) — Synthèse nationale des exploitations du Réseau Équin 2023, repères technico-économiques 2021 (88 exploitations, PDF juillet 2023)</t>
        </is>
      </c>
      <c r="C297" s="25" t="inlineStr">
        <is>
          <t>https://chevaux-normandie.com/wp-content/uploads/2024/04/Synthese-nationale-2023.pdf</t>
        </is>
      </c>
      <c r="D297" s="25" t="inlineStr">
        <is>
          <t>référence technico-économique (instituts techniques)</t>
        </is>
      </c>
      <c r="E297" s="25" t="inlineStr">
        <is>
          <t>2026-10-14</t>
        </is>
      </c>
      <c r="F297" s="25" t="inlineStr">
        <is>
          <t>page_lue</t>
        </is>
      </c>
      <c r="G297" s="25" t="inlineStr">
        <is>
          <t>§2 références, §3 pension, §5 entraîneur, §9 tableau modèles</t>
        </is>
      </c>
      <c r="H297" s="25" t="inlineStr">
        <is>
          <t>haute</t>
        </is>
      </c>
    </row>
    <row r="298">
      <c r="A298" s="25" t="inlineStr">
        <is>
          <t>R6-04</t>
        </is>
      </c>
      <c r="B298" s="8" t="inlineStr">
        <is>
          <t>Commune de Bry-sur-Marne (94) — délibération 2025DELIB0067 du 30/06/2025, tarifs du centre équestre municipal (concession UCPA) saison 2025-2026 (PDF)</t>
        </is>
      </c>
      <c r="C298" s="25" t="inlineStr">
        <is>
          <t>https://www.brysurmarne.fr/app/uploads/2025/07/CM-du-30-juin-2025-2025DELIB0067-Actualisation-des-tarifs-du-centre-equestre-municipal-de-Bry-sur-Marne-pour-la-saison-sportive-2025-2026.pdf</t>
        </is>
      </c>
      <c r="D298" s="25" t="inlineStr">
        <is>
          <t>acte administratif (délibération municipale)</t>
        </is>
      </c>
      <c r="E298" s="25" t="inlineStr">
        <is>
          <t>2026-10-14</t>
        </is>
      </c>
      <c r="F298" s="25" t="inlineStr">
        <is>
          <t>page_lue</t>
        </is>
      </c>
      <c r="G298" s="25" t="inlineStr">
        <is>
          <t>§3 pension</t>
        </is>
      </c>
      <c r="H298" s="25" t="inlineStr">
        <is>
          <t>haute</t>
        </is>
      </c>
    </row>
    <row r="299">
      <c r="A299" s="25" t="inlineStr">
        <is>
          <t>R6-05</t>
        </is>
      </c>
      <c r="B299" s="8" t="inlineStr">
        <is>
          <t>IFCE-OESC — Annuaire ECUS 2023 (données 2022), 96 p., PDF hébergé par l'AQPS (téléchargé par curl car &gt; 10 Mo pour WebFetch)</t>
        </is>
      </c>
      <c r="C299" s="25" t="inlineStr">
        <is>
          <t>https://www.aqps.fr/wp-content/uploads/2024/02/Annuaire-ECUS-2023.pdf</t>
        </is>
      </c>
      <c r="D299" s="25" t="inlineStr">
        <is>
          <t>statistique officielle (établissement public)</t>
        </is>
      </c>
      <c r="E299" s="25" t="inlineStr">
        <is>
          <t>2026-10-14</t>
        </is>
      </c>
      <c r="F299" s="25" t="inlineStr">
        <is>
          <t>page_lue</t>
        </is>
      </c>
      <c r="G299" s="25" t="inlineStr">
        <is>
          <t>§4 commerce et élevage, §5 courses</t>
        </is>
      </c>
      <c r="H299" s="25" t="inlineStr">
        <is>
          <t>haute</t>
        </is>
      </c>
    </row>
    <row r="300">
      <c r="A300" s="25" t="inlineStr">
        <is>
          <t>R6-06</t>
        </is>
      </c>
      <c r="B300" s="8" t="inlineStr">
        <is>
          <t>France Galop — Rapport d'activité 2025 / comptes sociaux 2025 (46 p., PDF publié en juin 2026)</t>
        </is>
      </c>
      <c r="C300" s="25" t="inlineStr">
        <is>
          <t>https://www.france-galop.com/sites/default/files/2026-06/fg_comptes_sociaux_2025.pdf</t>
        </is>
      </c>
      <c r="D300" s="25" t="inlineStr">
        <is>
          <t>comptes officiels (société mère des courses au galop)</t>
        </is>
      </c>
      <c r="E300" s="25" t="inlineStr">
        <is>
          <t>2026-10-14</t>
        </is>
      </c>
      <c r="F300" s="25" t="inlineStr">
        <is>
          <t>page_lue</t>
        </is>
      </c>
      <c r="G300" s="25" t="inlineStr">
        <is>
          <t>§5 courses</t>
        </is>
      </c>
      <c r="H300" s="25" t="inlineStr">
        <is>
          <t>haute</t>
        </is>
      </c>
    </row>
    <row r="301">
      <c r="A301" s="25" t="inlineStr">
        <is>
          <t>R6-07</t>
        </is>
      </c>
      <c r="B301" s="8" t="inlineStr">
        <is>
          <t>France Galop — Programme officiel Obstacles février-mai 2024 (216 p., PDF, téléchargé par curl car &gt; 10 Mo pour WebFetch), page 3 « Prime au propriétaire »</t>
        </is>
      </c>
      <c r="C301" s="25" t="inlineStr">
        <is>
          <t>https://www.france-galop.com/sites/default/files/2024-01/obstacles_fev_2024_mai_2024_v6.pdf</t>
        </is>
      </c>
      <c r="D301" s="25" t="inlineStr">
        <is>
          <t>règlement officiel (conditions de courses)</t>
        </is>
      </c>
      <c r="E301" s="25" t="inlineStr">
        <is>
          <t>2026-10-14</t>
        </is>
      </c>
      <c r="F301" s="25" t="inlineStr">
        <is>
          <t>page_lue</t>
        </is>
      </c>
      <c r="G301" s="25" t="inlineStr">
        <is>
          <t>§5 courses</t>
        </is>
      </c>
      <c r="H301" s="25" t="inlineStr">
        <is>
          <t>haute</t>
        </is>
      </c>
    </row>
    <row r="302">
      <c r="A302" s="25" t="inlineStr">
        <is>
          <t>R6-08</t>
        </is>
      </c>
      <c r="B302" s="8" t="inlineStr">
        <is>
          <t>Arqana — Statistiques annuelles (page 2026 lue par WebFetch, années 2025 et 2024 lues par curl avec cookie de session, la sélection d'année passant par une redirection 302 que WebFetch ne suit pas)</t>
        </is>
      </c>
      <c r="C302" s="25" t="inlineStr">
        <is>
          <t>https://www.arqana.com/statistiques_annuelles.html</t>
        </is>
      </c>
      <c r="D302" s="25" t="inlineStr">
        <is>
          <t>statistiques d'une maison de ventes (source primaire)</t>
        </is>
      </c>
      <c r="E302" s="25" t="inlineStr">
        <is>
          <t>2026-10-14</t>
        </is>
      </c>
      <c r="F302" s="25" t="inlineStr">
        <is>
          <t>page_lue</t>
        </is>
      </c>
      <c r="G302" s="25" t="inlineStr">
        <is>
          <t>§5 courses et ventes</t>
        </is>
      </c>
      <c r="H302" s="25" t="inlineStr">
        <is>
          <t>haute</t>
        </is>
      </c>
    </row>
    <row r="303">
      <c r="A303" s="25" t="inlineStr">
        <is>
          <t>R6-09</t>
        </is>
      </c>
      <c r="B303" s="8" t="inlineStr">
        <is>
          <t>Arqana — Processus de vente (frais vendeur, rachat, inscription)</t>
        </is>
      </c>
      <c r="C303" s="25" t="inlineStr">
        <is>
          <t>https://www.arqana.com/processus_de_vente.html</t>
        </is>
      </c>
      <c r="D303" s="25" t="inlineStr">
        <is>
          <t>conditions commerciales (maison de ventes)</t>
        </is>
      </c>
      <c r="E303" s="25" t="inlineStr">
        <is>
          <t>2026-10-14</t>
        </is>
      </c>
      <c r="F303" s="25" t="inlineStr">
        <is>
          <t>page_lue</t>
        </is>
      </c>
      <c r="G303" s="25" t="inlineStr">
        <is>
          <t>§5 courses et ventes, §6 haras</t>
        </is>
      </c>
      <c r="H303" s="25" t="inlineStr">
        <is>
          <t>moyenne</t>
        </is>
      </c>
    </row>
    <row r="304">
      <c r="A304" s="25" t="inlineStr">
        <is>
          <t>R6-10</t>
        </is>
      </c>
      <c r="B304" s="8" t="inlineStr">
        <is>
          <t>Arqana — Processus d'achat (frais acheteur, TVA, paiement)</t>
        </is>
      </c>
      <c r="C304" s="25" t="inlineStr">
        <is>
          <t>https://www.arqana.com/processus_d_achat.html</t>
        </is>
      </c>
      <c r="D304" s="25" t="inlineStr">
        <is>
          <t>conditions commerciales (maison de ventes)</t>
        </is>
      </c>
      <c r="E304" s="25" t="inlineStr">
        <is>
          <t>2026-10-14</t>
        </is>
      </c>
      <c r="F304" s="25" t="inlineStr">
        <is>
          <t>page_lue</t>
        </is>
      </c>
      <c r="G304" s="25" t="inlineStr">
        <is>
          <t>§5 courses et ventes, §6 haras</t>
        </is>
      </c>
      <c r="H304" s="25" t="inlineStr">
        <is>
          <t>moyenne</t>
        </is>
      </c>
    </row>
    <row r="305">
      <c r="A305" s="25" t="inlineStr">
        <is>
          <t>R6-11</t>
        </is>
      </c>
      <c r="B305" s="8" t="inlineStr">
        <is>
          <t>Chambres d'agriculture (Hauts-de-France / Normandie) — fiches « pension reproduction » (résultat de recherche seulement, PDF en 404/503 à l'ouverture, non daté)</t>
        </is>
      </c>
      <c r="C305" s="25" t="inlineStr">
        <is>
          <t>https://refonte-normandie.chambres-agriculture.fr/fileadmin/user_upload/Normandie/506_Fichiers-communs/PDF/EQUINS/pension-reproduction-activite-complementaire.pdf</t>
        </is>
      </c>
      <c r="D305" s="25" t="inlineStr">
        <is>
          <t>fiche technique de chambre d'agriculture</t>
        </is>
      </c>
      <c r="E305" s="25" t="inlineStr">
        <is>
          <t>2026-10-14</t>
        </is>
      </c>
      <c r="F305" s="25" t="inlineStr">
        <is>
          <t>extrait</t>
        </is>
      </c>
      <c r="G305" s="25" t="inlineStr">
        <is>
          <t>§6 haras</t>
        </is>
      </c>
      <c r="H305" s="25" t="inlineStr">
        <is>
          <t>faible</t>
        </is>
      </c>
    </row>
    <row r="306">
      <c r="A306" s="25" t="inlineStr">
        <is>
          <t>R6-12</t>
        </is>
      </c>
      <c r="B306" s="8" t="inlineStr">
        <is>
          <t>Aga Khan Studs — fiche étalon Siyouni (Haras de Bonneval), tarif 2026</t>
        </is>
      </c>
      <c r="C306" s="25" t="inlineStr">
        <is>
          <t>https://www.agakhanstuds.com/all-stallions/siyouni/</t>
        </is>
      </c>
      <c r="D306" s="25" t="inlineStr">
        <is>
          <t>site d'un haras (source primaire commerciale)</t>
        </is>
      </c>
      <c r="E306" s="25" t="inlineStr">
        <is>
          <t>2026-10-14</t>
        </is>
      </c>
      <c r="F306" s="25" t="inlineStr">
        <is>
          <t>page_lue</t>
        </is>
      </c>
      <c r="G306" s="25" t="inlineStr">
        <is>
          <t>§6 haras</t>
        </is>
      </c>
      <c r="H306" s="25" t="inlineStr">
        <is>
          <t>haute</t>
        </is>
      </c>
    </row>
    <row r="307">
      <c r="A307" s="25" t="inlineStr">
        <is>
          <t>R6-13</t>
        </is>
      </c>
      <c r="B307" s="8" t="inlineStr">
        <is>
          <t>Aga Khan Studs — fiche étalon Zarak (Haras de Bonneval), tarif 2026</t>
        </is>
      </c>
      <c r="C307" s="25" t="inlineStr">
        <is>
          <t>https://www.agakhanstuds.com/all-stallions/zarak/</t>
        </is>
      </c>
      <c r="D307" s="25" t="inlineStr">
        <is>
          <t>site d'un haras (source primaire commerciale)</t>
        </is>
      </c>
      <c r="E307" s="25" t="inlineStr">
        <is>
          <t>2026-10-14</t>
        </is>
      </c>
      <c r="F307" s="25" t="inlineStr">
        <is>
          <t>page_lue</t>
        </is>
      </c>
      <c r="G307" s="25" t="inlineStr">
        <is>
          <t>§6 haras</t>
        </is>
      </c>
      <c r="H307" s="25" t="inlineStr">
        <is>
          <t>haute</t>
        </is>
      </c>
    </row>
    <row r="308">
      <c r="A308" s="25" t="inlineStr">
        <is>
          <t>R6-14</t>
        </is>
      </c>
      <c r="B308" s="8" t="inlineStr">
        <is>
          <t>Aga Khan Studs — « Aga Khan Studs fees 2026 » (article, non daté sur la page)</t>
        </is>
      </c>
      <c r="C308" s="25" t="inlineStr">
        <is>
          <t>https://www.agakhanstuds.com/news/stallions/aga-khan-studs-fees-2026/</t>
        </is>
      </c>
      <c r="D308" s="25" t="inlineStr">
        <is>
          <t>site d'un haras (source primaire commerciale)</t>
        </is>
      </c>
      <c r="E308" s="25" t="inlineStr">
        <is>
          <t>2026-10-14</t>
        </is>
      </c>
      <c r="F308" s="25" t="inlineStr">
        <is>
          <t>page_lue</t>
        </is>
      </c>
      <c r="G308" s="25" t="inlineStr">
        <is>
          <t>§6 haras</t>
        </is>
      </c>
      <c r="H308" s="25" t="inlineStr">
        <is>
          <t>haute</t>
        </is>
      </c>
    </row>
    <row r="309">
      <c r="A309" s="25" t="inlineStr">
        <is>
          <t>R6-15</t>
        </is>
      </c>
      <c r="B309" s="8" t="inlineStr">
        <is>
          <t>Haras de Jardy (Marnes-la-Coquette, Hauts-de-Seine) — page « Les pensions » et plaquette « Pensions chevaux de propriétaires » (image JPG mise en ligne en mars 2026, lue visuellement)</t>
        </is>
      </c>
      <c r="C309" s="25" t="inlineStr">
        <is>
          <t>https://harasdejardy.com/wp-content/uploads/2026/03/Plaquette_proprietaires_Jardy.jpg</t>
        </is>
      </c>
      <c r="D309" s="25" t="inlineStr">
        <is>
          <t>tarif public d'un établissement équestre</t>
        </is>
      </c>
      <c r="E309" s="25" t="inlineStr">
        <is>
          <t>2026-10-14</t>
        </is>
      </c>
      <c r="F309" s="25" t="inlineStr">
        <is>
          <t>page_lue</t>
        </is>
      </c>
      <c r="G309" s="25" t="inlineStr">
        <is>
          <t>§3 pension</t>
        </is>
      </c>
      <c r="H309" s="25" t="inlineStr">
        <is>
          <t>haute</t>
        </is>
      </c>
    </row>
    <row r="310">
      <c r="A310" s="25" t="inlineStr">
        <is>
          <t>R6-16</t>
        </is>
      </c>
      <c r="B310" s="8" t="inlineStr">
        <is>
          <t>IFCE-OESC — « Gestion de la fin de vie : quels dispositifs pour répondre aux besoins futurs ? » Synthèse 2021 (enquêtes de juin 2019 : 658 propriétaires, 164 structures), PDF 18 p.</t>
        </is>
      </c>
      <c r="C310" s="25" t="inlineStr">
        <is>
          <t>https://equipedia.ifce.fr/fileadmin/bibliotheque/6.Statistiques/6.5.Notes-thematiques/Rapport-Gestion-fin-de-vie-cheval-2020.pdf</t>
        </is>
      </c>
      <c r="D310" s="25" t="inlineStr">
        <is>
          <t>étude statistique (établissement public)</t>
        </is>
      </c>
      <c r="E310" s="25" t="inlineStr">
        <is>
          <t>2026-10-14</t>
        </is>
      </c>
      <c r="F310" s="25" t="inlineStr">
        <is>
          <t>page_lue</t>
        </is>
      </c>
      <c r="G310" s="25" t="inlineStr">
        <is>
          <t>§3 pension (retraite, demande)</t>
        </is>
      </c>
      <c r="H310" s="25" t="inlineStr">
        <is>
          <t>haute</t>
        </is>
      </c>
    </row>
    <row r="311">
      <c r="A311" s="25" t="inlineStr">
        <is>
          <t>R6-17</t>
        </is>
      </c>
      <c r="B311" s="8" t="inlineStr">
        <is>
          <t>Syndicat mixte du Haras national de Lamballe (22) — « Point budgétaire, rapport d'activité 2025 au 22 novembre 2025 » (PDF 18 p.)</t>
        </is>
      </c>
      <c r="C311" s="25" t="inlineStr">
        <is>
          <t>https://www.haras-lamballe.com/front/media/document/3/25-11-22-point-budegtaire-rapport-d-activite.pdf</t>
        </is>
      </c>
      <c r="D311" s="25" t="inlineStr">
        <is>
          <t>document budgétaire d'une collectivité (syndicat mixte)</t>
        </is>
      </c>
      <c r="E311" s="25" t="inlineStr">
        <is>
          <t>2026-10-14</t>
        </is>
      </c>
      <c r="F311" s="25" t="inlineStr">
        <is>
          <t>page_lue</t>
        </is>
      </c>
      <c r="G311" s="25" t="inlineStr">
        <is>
          <t>§7 événements, §8 risques, contre-exemples</t>
        </is>
      </c>
      <c r="H311" s="25" t="inlineStr">
        <is>
          <t>haute</t>
        </is>
      </c>
    </row>
    <row r="312">
      <c r="A312" s="25" t="inlineStr">
        <is>
          <t>R6-18</t>
        </is>
      </c>
      <c r="B312" s="8" t="inlineStr">
        <is>
          <t>Acteurs publics — « Polémique sur la possible privatisation du Versailles du cheval » (Haras du Pin), 22/02/2012</t>
        </is>
      </c>
      <c r="C312" s="25" t="inlineStr">
        <is>
          <t>https://acteurspublics.fr/articles/polemique-sur-la-possible-privatisation-du-versailles-du-cheval/</t>
        </is>
      </c>
      <c r="D312" s="25" t="inlineStr">
        <is>
          <t>presse spécialisée (secteur public)</t>
        </is>
      </c>
      <c r="E312" s="25" t="inlineStr">
        <is>
          <t>2026-10-14</t>
        </is>
      </c>
      <c r="F312" s="25" t="inlineStr">
        <is>
          <t>page_lue</t>
        </is>
      </c>
      <c r="G312" s="25" t="inlineStr">
        <is>
          <t>contre-exemples</t>
        </is>
      </c>
      <c r="H312" s="25" t="inlineStr">
        <is>
          <t>moyenne</t>
        </is>
      </c>
    </row>
    <row r="313">
      <c r="A313" s="25" t="inlineStr">
        <is>
          <t>R6-19</t>
        </is>
      </c>
      <c r="B313" s="8" t="inlineStr">
        <is>
          <t>Sénat — étude d'impact du projet de loi pjl20-709 (dissolution de l'établissement public du Haras national du Pin, transfert des biens au département de l'Orne et à l'État) — vu seulement en résultat de recherche</t>
        </is>
      </c>
      <c r="C313" s="25" t="inlineStr">
        <is>
          <t>https://www.senat.fr/leg/etudes-impact/pjl20-709-ei/pjl20-709-ei.pdf</t>
        </is>
      </c>
      <c r="D313" s="25" t="inlineStr">
        <is>
          <t>document parlementaire</t>
        </is>
      </c>
      <c r="E313" s="25" t="inlineStr">
        <is>
          <t>2026-10-14</t>
        </is>
      </c>
      <c r="F313" s="25" t="inlineStr">
        <is>
          <t>extrait</t>
        </is>
      </c>
      <c r="G313" s="25" t="inlineStr">
        <is>
          <t>contre-exemples</t>
        </is>
      </c>
      <c r="H313" s="25" t="inlineStr">
        <is>
          <t>haute</t>
        </is>
      </c>
    </row>
    <row r="314">
      <c r="A314" s="25" t="inlineStr">
        <is>
          <t>R6-20</t>
        </is>
      </c>
      <c r="B314" s="8" t="inlineStr">
        <is>
          <t>Mondial du Lion — dossier de presse 2025 (PDF 25 p., 13/10/2025)</t>
        </is>
      </c>
      <c r="C314" s="25" t="inlineStr">
        <is>
          <t>https://www.mondialdulion.com/wp-content/uploads/2025/10/DOSSIER-DE-PRESSE-FR.pdf</t>
        </is>
      </c>
      <c r="D314" s="25" t="inlineStr">
        <is>
          <t>dossier de presse d'un organisateur</t>
        </is>
      </c>
      <c r="E314" s="25" t="inlineStr">
        <is>
          <t>2026-10-14</t>
        </is>
      </c>
      <c r="F314" s="25" t="inlineStr">
        <is>
          <t>page_lue</t>
        </is>
      </c>
      <c r="G314" s="25" t="inlineStr">
        <is>
          <t>§7 événements</t>
        </is>
      </c>
      <c r="H314" s="25" t="inlineStr">
        <is>
          <t>moyenne</t>
        </is>
      </c>
    </row>
    <row r="315">
      <c r="A315" s="25" t="inlineStr">
        <is>
          <t>R6-21</t>
        </is>
      </c>
      <c r="B315" s="8" t="inlineStr">
        <is>
          <t>Polo Club du Domaine de Chantilly — page « Membership » (tarifs 2026 annoncés via un lien Dropbox supprimé)</t>
        </is>
      </c>
      <c r="C315" s="25" t="inlineStr">
        <is>
          <t>https://www.poloclubchantilly.com/membership</t>
        </is>
      </c>
      <c r="D315" s="25" t="inlineStr">
        <is>
          <t>site d'un club</t>
        </is>
      </c>
      <c r="E315" s="25" t="inlineStr">
        <is>
          <t>2026-10-14</t>
        </is>
      </c>
      <c r="F315" s="25" t="inlineStr">
        <is>
          <t>page_lue</t>
        </is>
      </c>
      <c r="G315" s="25" t="inlineStr">
        <is>
          <t>§7 polo</t>
        </is>
      </c>
      <c r="H315" s="25" t="inlineStr">
        <is>
          <t>moyenne</t>
        </is>
      </c>
    </row>
    <row r="316">
      <c r="A316" s="25" t="inlineStr">
        <is>
          <t>R6-22</t>
        </is>
      </c>
      <c r="B316" s="8" t="inlineStr">
        <is>
          <t>Around the Rings (Infobae) — « FEI cancels European mainland events due to EHV-1 neurological form » (communiqué FEI repris)</t>
        </is>
      </c>
      <c r="C316" s="25" t="inlineStr">
        <is>
          <t>https://www.infobae.com/aroundtherings/federations/2021/07/12/fei-cancels-european-mainland-events-due-to-ehv-1-neurological-form</t>
        </is>
      </c>
      <c r="D316" s="25" t="inlineStr">
        <is>
          <t>presse spécialisée reprenant un communiqué officiel</t>
        </is>
      </c>
      <c r="E316" s="25" t="inlineStr">
        <is>
          <t>2026-10-14</t>
        </is>
      </c>
      <c r="F316" s="25" t="inlineStr">
        <is>
          <t>page_lue</t>
        </is>
      </c>
      <c r="G316" s="25" t="inlineStr">
        <is>
          <t>§8 risques</t>
        </is>
      </c>
      <c r="H316" s="25" t="inlineStr">
        <is>
          <t>moyenne</t>
        </is>
      </c>
    </row>
    <row r="317">
      <c r="A317" s="25" t="inlineStr">
        <is>
          <t>R6-23</t>
        </is>
      </c>
      <c r="B317" s="8" t="inlineStr">
        <is>
          <t>Préfecture de l'Orne — « Épidémie de rhinopneumonie, 15 mars 2021 » (communiqué FFE-SHF) — vu seulement en résultat de recherche (PDF en 503)</t>
        </is>
      </c>
      <c r="C317" s="25" t="inlineStr">
        <is>
          <t>https://www.orne.gouv.fr/contenu/telechargement/11501/98689/file/epidemie_de_rhinopneumonie_15_mars_2021_cle04d22c.pdf</t>
        </is>
      </c>
      <c r="D317" s="25" t="inlineStr">
        <is>
          <t>communiqué officiel</t>
        </is>
      </c>
      <c r="E317" s="25" t="inlineStr">
        <is>
          <t>2026-10-14</t>
        </is>
      </c>
      <c r="F317" s="25" t="inlineStr">
        <is>
          <t>extrait</t>
        </is>
      </c>
      <c r="G317" s="25" t="inlineStr">
        <is>
          <t>§8 risques</t>
        </is>
      </c>
      <c r="H317" s="25" t="inlineStr">
        <is>
          <t>moyenne</t>
        </is>
      </c>
    </row>
    <row r="318">
      <c r="A318" s="25" t="inlineStr">
        <is>
          <t>R6-24</t>
        </is>
      </c>
      <c r="B318" s="8" t="inlineStr">
        <is>
          <t>IFCE / Réseau Économique de la Filière Équine — J. Pavie, B. Morhain, « Coûts de production dans les élevages équins », 4e journée REFErences, 19/01/2011 (diaporama PDF 9 p.)</t>
        </is>
      </c>
      <c r="C318" s="25" t="inlineStr">
        <is>
          <t>https://www.ifce.fr/wp-content/uploads/2015/07/OESC-4-Coûts-de-production_Pavie_Morhain.pdf</t>
        </is>
      </c>
      <c r="D318" s="25" t="inlineStr">
        <is>
          <t>référence technico-économique (ancienne)</t>
        </is>
      </c>
      <c r="E318" s="25" t="inlineStr">
        <is>
          <t>2026-10-14</t>
        </is>
      </c>
      <c r="F318" s="25" t="inlineStr">
        <is>
          <t>page_lue</t>
        </is>
      </c>
      <c r="G318" s="25" t="inlineStr">
        <is>
          <t>§4 élevage de sport</t>
        </is>
      </c>
      <c r="H318" s="25" t="inlineStr">
        <is>
          <t>moyenne</t>
        </is>
      </c>
    </row>
    <row r="319">
      <c r="A319" s="25" t="inlineStr">
        <is>
          <t>R6-25</t>
        </is>
      </c>
      <c r="B319" s="8" t="inlineStr">
        <is>
          <t>Ville de Paris (DJS) — Avis d'appel public à candidature, convention d'occupation temporaire du domaine public pour l'exploitation du centre équestre de la Cartoucherie (Bois de Vincennes, Paris 12e), PDF du 08/01/2021</t>
        </is>
      </c>
      <c r="C319" s="25" t="inlineStr">
        <is>
          <t>https://cdn.paris.fr/paris/2021/01/15/6efbddef7a8dc5a7b0e1fffd8708e2d4.pdf</t>
        </is>
      </c>
      <c r="D319" s="25" t="inlineStr">
        <is>
          <t>acte administratif (avis de concession)</t>
        </is>
      </c>
      <c r="E319" s="25" t="inlineStr">
        <is>
          <t>2026-10-14</t>
        </is>
      </c>
      <c r="F319" s="25" t="inlineStr">
        <is>
          <t>page_lue</t>
        </is>
      </c>
      <c r="G319" s="25" t="inlineStr">
        <is>
          <t>§4 location d'écuries</t>
        </is>
      </c>
      <c r="H319" s="25" t="inlineStr">
        <is>
          <t>haute</t>
        </is>
      </c>
    </row>
    <row r="320">
      <c r="A320" s="25" t="inlineStr">
        <is>
          <t>R6-26</t>
        </is>
      </c>
      <c r="B320" s="8" t="inlineStr">
        <is>
          <t>Inosys Réseaux d'élevage / Idele — Monographie « Centre de reproduction : des services développés par un éleveur pour les éleveurs », Haras du Rond Pré (Grand Est), saison 2022, décembre 2023, réf. 00 23 602 033 (PDF 4 p., page 3 lue aussi en image)</t>
        </is>
      </c>
      <c r="C320" s="25" t="inlineStr">
        <is>
          <t>https://chevaux-normandie.com/wp-content/uploads/2024/04/Monographie-Haras-du-Rond-Pre-1.pdf</t>
        </is>
      </c>
      <c r="D320" s="25" t="inlineStr">
        <is>
          <t>référence technico-économique (monographie)</t>
        </is>
      </c>
      <c r="E320" s="25" t="inlineStr">
        <is>
          <t>2026-10-14</t>
        </is>
      </c>
      <c r="F320" s="25" t="inlineStr">
        <is>
          <t>page_lue</t>
        </is>
      </c>
      <c r="G320" s="25" t="inlineStr">
        <is>
          <t>§6 haras, §6.3 reproduction, §9 tableau modèles</t>
        </is>
      </c>
      <c r="H320" s="25" t="inlineStr">
        <is>
          <t>haute</t>
        </is>
      </c>
    </row>
    <row r="321">
      <c r="A321" s="25" t="inlineStr">
        <is>
          <t>R6-27</t>
        </is>
      </c>
      <c r="B321" s="8" t="inlineStr">
        <is>
          <t>Conseil des Chevaux de Normandie (Equi'Up, FNADT) — « Trajectoires économiques des entreprises normandes de la filière équine au cours de la crise Covid 2020 » (PDF 13 p., décembre 2021)</t>
        </is>
      </c>
      <c r="C321" s="25" t="inlineStr">
        <is>
          <t>https://equiup.chevaux-normandie.com/uploads/Ressources/Economique/Pilotage%20d'entreprise/EQUIUP211015-etude%20equicer%20VF.pdf</t>
        </is>
      </c>
      <c r="D321" s="25" t="inlineStr">
        <is>
          <t>étude économique (conseil régional des équidés)</t>
        </is>
      </c>
      <c r="E321" s="25" t="inlineStr">
        <is>
          <t>2026-10-14</t>
        </is>
      </c>
      <c r="F321" s="25" t="inlineStr">
        <is>
          <t>page_lue</t>
        </is>
      </c>
      <c r="G321" s="25" t="inlineStr">
        <is>
          <t>§8 risques (choc 2020)</t>
        </is>
      </c>
      <c r="H321" s="25" t="inlineStr">
        <is>
          <t>haute</t>
        </is>
      </c>
    </row>
    <row r="322">
      <c r="A322" s="25" t="inlineStr">
        <is>
          <t>R6-28</t>
        </is>
      </c>
      <c r="B322" s="8" t="inlineStr">
        <is>
          <t>Haras de Hus (Petit-Mars, Loire-Atlantique) — page « Centre de reproduction : nos tarifs » (année non écrite dans le texte, fichier image nommé 2026, tarifs HT)</t>
        </is>
      </c>
      <c r="C322" s="25" t="inlineStr">
        <is>
          <t>https://www.harasdehus.com/fr/centre-reproduction/nos-tarifs.html</t>
        </is>
      </c>
      <c r="D322" s="25" t="inlineStr">
        <is>
          <t>tarif public d'un centre de reproduction</t>
        </is>
      </c>
      <c r="E322" s="25" t="inlineStr">
        <is>
          <t>2026-10-14</t>
        </is>
      </c>
      <c r="F322" s="25" t="inlineStr">
        <is>
          <t>page_lue</t>
        </is>
      </c>
      <c r="G322" s="25" t="inlineStr">
        <is>
          <t>§6 haras, centre de reproduction</t>
        </is>
      </c>
      <c r="H322" s="25" t="inlineStr">
        <is>
          <t>moyenne</t>
        </is>
      </c>
    </row>
    <row r="323">
      <c r="A323" s="25" t="inlineStr">
        <is>
          <t>R7-01</t>
        </is>
      </c>
      <c r="B323" s="8" t="inlineStr">
        <is>
          <t>INSEE - Mariages et Pacs : données annuelles de 1990 à 2025</t>
        </is>
      </c>
      <c r="C323" s="25" t="inlineStr">
        <is>
          <t>https://www.insee.fr/fr/statistiques/2381498</t>
        </is>
      </c>
      <c r="D323" s="25" t="inlineStr">
        <is>
          <t>statistique officielle</t>
        </is>
      </c>
      <c r="E323" s="25" t="inlineStr">
        <is>
          <t>2026-10-14</t>
        </is>
      </c>
      <c r="F323" s="25" t="inlineStr">
        <is>
          <t>page_lue</t>
        </is>
      </c>
      <c r="G323" s="25" t="inlineStr">
        <is>
          <t>§1 Mariages, §8 Chocs</t>
        </is>
      </c>
      <c r="H323" s="25" t="inlineStr">
        <is>
          <t>haute</t>
        </is>
      </c>
    </row>
    <row r="324">
      <c r="A324" s="25" t="inlineStr">
        <is>
          <t>R7-02</t>
        </is>
      </c>
      <c r="B324" s="8" t="inlineStr">
        <is>
          <t>INSEE Première n°2033 - Bilan démographique 2024 (janvier 2025)</t>
        </is>
      </c>
      <c r="C324" s="25" t="inlineStr">
        <is>
          <t>https://www.insee.fr/fr/statistiques/8327319</t>
        </is>
      </c>
      <c r="D324" s="25" t="inlineStr">
        <is>
          <t>statistique officielle</t>
        </is>
      </c>
      <c r="E324" s="25" t="inlineStr">
        <is>
          <t>2026-10-14</t>
        </is>
      </c>
      <c r="F324" s="25" t="inlineStr">
        <is>
          <t>page_lue</t>
        </is>
      </c>
      <c r="G324" s="25" t="inlineStr">
        <is>
          <t>§1 Mariages, §8 Chocs</t>
        </is>
      </c>
      <c r="H324" s="25" t="inlineStr">
        <is>
          <t>haute</t>
        </is>
      </c>
    </row>
    <row r="325">
      <c r="A325" s="25" t="inlineStr">
        <is>
          <t>R7-03</t>
        </is>
      </c>
      <c r="B325" s="8" t="inlineStr">
        <is>
          <t>Mariages.net - Rapport sur le Secteur Nuptial 2026 (3e édition, 1 304 couples mariés en 2025)</t>
        </is>
      </c>
      <c r="C325" s="25" t="inlineStr">
        <is>
          <t>https://www.mariages.net/articles/survivre-organisation-mariage-france-faits-curiosites-rapport-secteur-nuptial--c11444</t>
        </is>
      </c>
      <c r="D325" s="25" t="inlineStr">
        <is>
          <t>étude privée (plateforme)</t>
        </is>
      </c>
      <c r="E325" s="25" t="inlineStr">
        <is>
          <t>2026-10-14</t>
        </is>
      </c>
      <c r="F325" s="25" t="inlineStr">
        <is>
          <t>page_lue</t>
        </is>
      </c>
      <c r="G325" s="25" t="inlineStr">
        <is>
          <t>§1 Mariages</t>
        </is>
      </c>
      <c r="H325" s="25" t="inlineStr">
        <is>
          <t>moyenne</t>
        </is>
      </c>
    </row>
    <row r="326">
      <c r="A326" s="25" t="inlineStr">
        <is>
          <t>R7-04</t>
        </is>
      </c>
      <c r="B326" s="8" t="inlineStr">
        <is>
          <t>Journal de l'économie - Mariage : prix, traditions, lieux… (28 mai 2026, cite Mariages.net, Hyatt, Sofinco)</t>
        </is>
      </c>
      <c r="C326" s="25" t="inlineStr">
        <is>
          <t>https://www.journaldeleconomie.fr/?p=47317</t>
        </is>
      </c>
      <c r="D326" s="25" t="inlineStr">
        <is>
          <t>presse économique</t>
        </is>
      </c>
      <c r="E326" s="25" t="inlineStr">
        <is>
          <t>2026-10-14</t>
        </is>
      </c>
      <c r="F326" s="25" t="inlineStr">
        <is>
          <t>page_lue</t>
        </is>
      </c>
      <c r="G326" s="25" t="inlineStr">
        <is>
          <t>§1 Mariages</t>
        </is>
      </c>
      <c r="H326" s="25" t="inlineStr">
        <is>
          <t>moyenne</t>
        </is>
      </c>
    </row>
    <row r="327">
      <c r="A327" s="25" t="inlineStr">
        <is>
          <t>R7-05</t>
        </is>
      </c>
      <c r="B327" s="8" t="inlineStr">
        <is>
          <t>Mariages.net - annuaire Château mariage (compteur de résultats)</t>
        </is>
      </c>
      <c r="C327" s="25" t="inlineStr">
        <is>
          <t>https://www.mariages.net/chateau-mariage</t>
        </is>
      </c>
      <c r="D327" s="25" t="inlineStr">
        <is>
          <t>plateforme (annuaire)</t>
        </is>
      </c>
      <c r="E327" s="25" t="inlineStr">
        <is>
          <t>2026-10-14</t>
        </is>
      </c>
      <c r="F327" s="25" t="inlineStr">
        <is>
          <t>page_lue</t>
        </is>
      </c>
      <c r="G327" s="25" t="inlineStr">
        <is>
          <t>§1 Concurrence</t>
        </is>
      </c>
      <c r="H327" s="25" t="inlineStr">
        <is>
          <t>moyenne</t>
        </is>
      </c>
    </row>
    <row r="328">
      <c r="A328" s="25" t="inlineStr">
        <is>
          <t>R7-06</t>
        </is>
      </c>
      <c r="B328" s="8" t="inlineStr">
        <is>
          <t>Mariages.net - annuaire Domaine mariage (compteur de résultats)</t>
        </is>
      </c>
      <c r="C328" s="25" t="inlineStr">
        <is>
          <t>https://www.mariages.net/domaine-mariage</t>
        </is>
      </c>
      <c r="D328" s="25" t="inlineStr">
        <is>
          <t>plateforme (annuaire)</t>
        </is>
      </c>
      <c r="E328" s="25" t="inlineStr">
        <is>
          <t>2026-10-14</t>
        </is>
      </c>
      <c r="F328" s="25" t="inlineStr">
        <is>
          <t>page_lue</t>
        </is>
      </c>
      <c r="G328" s="25" t="inlineStr">
        <is>
          <t>§1 Concurrence</t>
        </is>
      </c>
      <c r="H328" s="25" t="inlineStr">
        <is>
          <t>moyenne</t>
        </is>
      </c>
    </row>
    <row r="329">
      <c r="A329" s="25" t="inlineStr">
        <is>
          <t>R7-07</t>
        </is>
      </c>
      <c r="B329" s="8" t="inlineStr">
        <is>
          <t>Château de Picomtal - Brochure mariages 2026-2027 (PDF)</t>
        </is>
      </c>
      <c r="C329" s="25" t="inlineStr">
        <is>
          <t>https://www.picomtal.fr/sites/default/files/documents/2025-10/brochure-mariages-picomtal-2026-2027.pdf</t>
        </is>
      </c>
      <c r="D329" s="25" t="inlineStr">
        <is>
          <t>site du domaine (grille tarifaire)</t>
        </is>
      </c>
      <c r="E329" s="25" t="inlineStr">
        <is>
          <t>2026-10-14</t>
        </is>
      </c>
      <c r="F329" s="25" t="inlineStr">
        <is>
          <t>page_lue</t>
        </is>
      </c>
      <c r="G329" s="25" t="inlineStr">
        <is>
          <t>§1.4 Tarifs mariage</t>
        </is>
      </c>
      <c r="H329" s="25" t="inlineStr">
        <is>
          <t>haute</t>
        </is>
      </c>
    </row>
    <row r="330">
      <c r="A330" s="25" t="inlineStr">
        <is>
          <t>R7-08</t>
        </is>
      </c>
      <c r="B330" s="8" t="inlineStr">
        <is>
          <t>Château de Berne - Hiring a château exclusively for a wedding: the two packages (14 août 2026)</t>
        </is>
      </c>
      <c r="C330" s="25" t="inlineStr">
        <is>
          <t>https://www.chateauberne.com/en/wp-json/wp/v2/posts/28026</t>
        </is>
      </c>
      <c r="D330" s="25" t="inlineStr">
        <is>
          <t>site du domaine</t>
        </is>
      </c>
      <c r="E330" s="25" t="inlineStr">
        <is>
          <t>2026-10-14</t>
        </is>
      </c>
      <c r="F330" s="25" t="inlineStr">
        <is>
          <t>page_lue</t>
        </is>
      </c>
      <c r="G330" s="25" t="inlineStr">
        <is>
          <t>§1.4 Tarifs mariage</t>
        </is>
      </c>
      <c r="H330" s="25" t="inlineStr">
        <is>
          <t>haute</t>
        </is>
      </c>
    </row>
    <row r="331">
      <c r="A331" s="25" t="inlineStr">
        <is>
          <t>R7-09</t>
        </is>
      </c>
      <c r="B331" s="8" t="inlineStr">
        <is>
          <t>Bridebook - fiche Château des Pères (Piré-sur-Seiche)</t>
        </is>
      </c>
      <c r="C331" s="25" t="inlineStr">
        <is>
          <t>https://bridebook.com/fr/wedding-venues/ch-teau-des-p-res-pir-sur-seiche-ille-et-vilaine-freaXqZMgl</t>
        </is>
      </c>
      <c r="D331" s="25" t="inlineStr">
        <is>
          <t>plateforme (annuaire)</t>
        </is>
      </c>
      <c r="E331" s="25" t="inlineStr">
        <is>
          <t>2026-10-14</t>
        </is>
      </c>
      <c r="F331" s="25" t="inlineStr">
        <is>
          <t>page_lue</t>
        </is>
      </c>
      <c r="G331" s="25" t="inlineStr">
        <is>
          <t>§1.4 Tarifs mariage</t>
        </is>
      </c>
      <c r="H331" s="25" t="inlineStr">
        <is>
          <t>moyenne</t>
        </is>
      </c>
    </row>
    <row r="332">
      <c r="A332" s="25" t="inlineStr">
        <is>
          <t>R7-10</t>
        </is>
      </c>
      <c r="B332" s="8" t="inlineStr">
        <is>
          <t>1001 Salles - Guide complet : comment choisir sa salle de mariage en France en 2026 (17 février 2026)</t>
        </is>
      </c>
      <c r="C332" s="25" t="inlineStr">
        <is>
          <t>https://www.1001salles.com/blog/article/2562/guide-complet-comment-choisir-sa-salle-de-mariage-en-france-en-2026</t>
        </is>
      </c>
      <c r="D332" s="25" t="inlineStr">
        <is>
          <t>blog commercial</t>
        </is>
      </c>
      <c r="E332" s="25" t="inlineStr">
        <is>
          <t>2026-10-14</t>
        </is>
      </c>
      <c r="F332" s="25" t="inlineStr">
        <is>
          <t>page_lue</t>
        </is>
      </c>
      <c r="G332" s="25" t="inlineStr">
        <is>
          <t>§1.4 Tarifs, §1.5 Saisonnalité</t>
        </is>
      </c>
      <c r="H332" s="25" t="inlineStr">
        <is>
          <t>faible</t>
        </is>
      </c>
    </row>
    <row r="333">
      <c r="A333" s="25" t="inlineStr">
        <is>
          <t>R7-11</t>
        </is>
      </c>
      <c r="B333" s="8" t="inlineStr">
        <is>
          <t>1001 Salles - Château de mariage à Bordeaux : prix, fourchettes (page en erreur 522)</t>
        </is>
      </c>
      <c r="C333" s="25" t="inlineStr">
        <is>
          <t>https://www.1001salles.com/blog/article/2589/chateau-de-mariage-a-bordeaux-prix-fourchettes-et-conseils-pour-votre-budget</t>
        </is>
      </c>
      <c r="D333" s="25" t="inlineStr">
        <is>
          <t>blog commercial</t>
        </is>
      </c>
      <c r="E333" s="25" t="inlineStr">
        <is>
          <t>2026-10-14</t>
        </is>
      </c>
      <c r="F333" s="25" t="inlineStr">
        <is>
          <t>extrait</t>
        </is>
      </c>
      <c r="G333" s="25" t="inlineStr">
        <is>
          <t>§1.4 Tarifs</t>
        </is>
      </c>
      <c r="H333" s="25" t="inlineStr">
        <is>
          <t>faible</t>
        </is>
      </c>
    </row>
    <row r="334">
      <c r="A334" s="25" t="inlineStr">
        <is>
          <t>R7-12</t>
        </is>
      </c>
      <c r="B334" s="8" t="inlineStr">
        <is>
          <t>Centre des monuments nationaux - Grille tarifaire tournages et prises de vue CMN 2024 (PDF, modifié nov. 2025)</t>
        </is>
      </c>
      <c r="C334" s="25" t="inlineStr">
        <is>
          <t>https://www.monuments-nationaux.fr/content/download/9853454/file/Grille%20tarifaire%20tournages%20et%20prises%20de%20vue%20CMN%202024.pdf?version=15&amp;inLanguage=fre-FR</t>
        </is>
      </c>
      <c r="D334" s="25" t="inlineStr">
        <is>
          <t>établissement public (grille officielle)</t>
        </is>
      </c>
      <c r="E334" s="25" t="inlineStr">
        <is>
          <t>2026-10-14</t>
        </is>
      </c>
      <c r="F334" s="25" t="inlineStr">
        <is>
          <t>page_lue</t>
        </is>
      </c>
      <c r="G334" s="25" t="inlineStr">
        <is>
          <t>§3 Tournages</t>
        </is>
      </c>
      <c r="H334" s="25" t="inlineStr">
        <is>
          <t>haute</t>
        </is>
      </c>
    </row>
    <row r="335">
      <c r="A335" s="25" t="inlineStr">
        <is>
          <t>R7-13</t>
        </is>
      </c>
      <c r="B335" s="8" t="inlineStr">
        <is>
          <t>Centre des monuments nationaux - Grilles tarifaires privatisation CMN (PDF, créé nov. 2025)</t>
        </is>
      </c>
      <c r="C335" s="25" t="inlineStr">
        <is>
          <t>https://www.monuments-nationaux.fr/content/download/9862216/file/Grilles%20tarifaires%20privatisation%20CMN.pdf?version=16&amp;inLanguage=fre-FR</t>
        </is>
      </c>
      <c r="D335" s="25" t="inlineStr">
        <is>
          <t>établissement public (grille officielle)</t>
        </is>
      </c>
      <c r="E335" s="25" t="inlineStr">
        <is>
          <t>2026-10-14</t>
        </is>
      </c>
      <c r="F335" s="25" t="inlineStr">
        <is>
          <t>page_lue</t>
        </is>
      </c>
      <c r="G335" s="25" t="inlineStr">
        <is>
          <t>§1.4 bis, §2 Séminaires</t>
        </is>
      </c>
      <c r="H335" s="25" t="inlineStr">
        <is>
          <t>haute</t>
        </is>
      </c>
    </row>
    <row r="336">
      <c r="A336" s="25" t="inlineStr">
        <is>
          <t>R7-14</t>
        </is>
      </c>
      <c r="B336" s="8" t="inlineStr">
        <is>
          <t>Centre des monuments nationaux - pages Tournage et prise de vue / Privatisation</t>
        </is>
      </c>
      <c r="C336" s="25" t="inlineStr">
        <is>
          <t>https://www.monuments-nationaux.fr/tournage-et-prise-de-vue</t>
        </is>
      </c>
      <c r="D336" s="25" t="inlineStr">
        <is>
          <t>établissement public</t>
        </is>
      </c>
      <c r="E336" s="25" t="inlineStr">
        <is>
          <t>2026-10-14</t>
        </is>
      </c>
      <c r="F336" s="25" t="inlineStr">
        <is>
          <t>page_lue</t>
        </is>
      </c>
      <c r="G336" s="25" t="inlineStr">
        <is>
          <t>§3 Tournages</t>
        </is>
      </c>
      <c r="H336" s="25" t="inlineStr">
        <is>
          <t>haute</t>
        </is>
      </c>
    </row>
    <row r="337">
      <c r="A337" s="25" t="inlineStr">
        <is>
          <t>R7-15</t>
        </is>
      </c>
      <c r="B337" s="8" t="inlineStr">
        <is>
          <t>Insee Focus n°225 - Se marier en été est une habitude récente : 150 ans de saisonnalité des mariages (11/02/2021)</t>
        </is>
      </c>
      <c r="C337" s="25" t="inlineStr">
        <is>
          <t>https://www.insee.fr/fr/statistiques/5018214</t>
        </is>
      </c>
      <c r="D337" s="25" t="inlineStr">
        <is>
          <t>statistique officielle</t>
        </is>
      </c>
      <c r="E337" s="25" t="inlineStr">
        <is>
          <t>2026-10-14</t>
        </is>
      </c>
      <c r="F337" s="25" t="inlineStr">
        <is>
          <t>page_lue</t>
        </is>
      </c>
      <c r="G337" s="25" t="inlineStr">
        <is>
          <t>§1.5 Saisonnalité</t>
        </is>
      </c>
      <c r="H337" s="25" t="inlineStr">
        <is>
          <t>haute</t>
        </is>
      </c>
    </row>
    <row r="338">
      <c r="A338" s="25" t="inlineStr">
        <is>
          <t>R7-16</t>
        </is>
      </c>
      <c r="B338" s="8" t="inlineStr">
        <is>
          <t>Insee Focus n°260 - Une chute historique du nombre de mariages en 2020 à la suite des restrictions sanitaires (11/02/2022)</t>
        </is>
      </c>
      <c r="C338" s="25" t="inlineStr">
        <is>
          <t>https://www.insee.fr/fr/statistiques/6050251</t>
        </is>
      </c>
      <c r="D338" s="25" t="inlineStr">
        <is>
          <t>statistique officielle</t>
        </is>
      </c>
      <c r="E338" s="25" t="inlineStr">
        <is>
          <t>2026-10-14</t>
        </is>
      </c>
      <c r="F338" s="25" t="inlineStr">
        <is>
          <t>page_lue</t>
        </is>
      </c>
      <c r="G338" s="25" t="inlineStr">
        <is>
          <t>§1.5, §8 Chocs</t>
        </is>
      </c>
      <c r="H338" s="25" t="inlineStr">
        <is>
          <t>haute</t>
        </is>
      </c>
    </row>
    <row r="339">
      <c r="A339" s="25" t="inlineStr">
        <is>
          <t>R7-17</t>
        </is>
      </c>
      <c r="B339" s="8" t="inlineStr">
        <is>
          <t>Atout France - recherche interne « mariage » sur atout-france.fr</t>
        </is>
      </c>
      <c r="C339" s="25" t="inlineStr">
        <is>
          <t>https://www.atout-france.fr/fr/recherche?search_api_fulltext=mariage</t>
        </is>
      </c>
      <c r="D339" s="25" t="inlineStr">
        <is>
          <t>agence publique (catalogue)</t>
        </is>
      </c>
      <c r="E339" s="25" t="inlineStr">
        <is>
          <t>2026-10-14</t>
        </is>
      </c>
      <c r="F339" s="25" t="inlineStr">
        <is>
          <t>page_lue</t>
        </is>
      </c>
      <c r="G339" s="25" t="inlineStr">
        <is>
          <t>§1.6 Destination</t>
        </is>
      </c>
      <c r="H339" s="25" t="inlineStr">
        <is>
          <t>haute</t>
        </is>
      </c>
    </row>
    <row r="340">
      <c r="A340" s="25" t="inlineStr">
        <is>
          <t>R7-18</t>
        </is>
      </c>
      <c r="B340" s="8" t="inlineStr">
        <is>
          <t>Atout France - Salon EPEX 2025 (Inde, MICE et destination weddings)</t>
        </is>
      </c>
      <c r="C340" s="25" t="inlineStr">
        <is>
          <t>https://www.atout-france.fr/fr/catalogue/rendez-vous/salon-epex-2025</t>
        </is>
      </c>
      <c r="D340" s="25" t="inlineStr">
        <is>
          <t>agence publique</t>
        </is>
      </c>
      <c r="E340" s="25" t="inlineStr">
        <is>
          <t>2026-10-14</t>
        </is>
      </c>
      <c r="F340" s="25" t="inlineStr">
        <is>
          <t>page_lue</t>
        </is>
      </c>
      <c r="G340" s="25" t="inlineStr">
        <is>
          <t>§1.6 Destination</t>
        </is>
      </c>
      <c r="H340" s="25" t="inlineStr">
        <is>
          <t>haute</t>
        </is>
      </c>
    </row>
    <row r="341">
      <c r="A341" s="25" t="inlineStr">
        <is>
          <t>R7-19</t>
        </is>
      </c>
      <c r="B341" s="8" t="inlineStr">
        <is>
          <t>Atout France - Wedding Planner Event avec Business France</t>
        </is>
      </c>
      <c r="C341" s="25" t="inlineStr">
        <is>
          <t>https://www.atout-france.fr/fr/catalogue/operations-carte/wedding-planner-event-avec-business-france</t>
        </is>
      </c>
      <c r="D341" s="25" t="inlineStr">
        <is>
          <t>agence publique</t>
        </is>
      </c>
      <c r="E341" s="25" t="inlineStr">
        <is>
          <t>2026-10-14</t>
        </is>
      </c>
      <c r="F341" s="25" t="inlineStr">
        <is>
          <t>page_lue</t>
        </is>
      </c>
      <c r="G341" s="25" t="inlineStr">
        <is>
          <t>§1.6 Destination</t>
        </is>
      </c>
      <c r="H341" s="25" t="inlineStr">
        <is>
          <t>haute</t>
        </is>
      </c>
    </row>
    <row r="342">
      <c r="A342" s="25" t="inlineStr">
        <is>
          <t>R7-20</t>
        </is>
      </c>
      <c r="B342" s="8" t="inlineStr">
        <is>
          <t>La Demeure Historique - Dossier de presse « Châteaux près d'ici » (31 mars 2026, PDF)</t>
        </is>
      </c>
      <c r="C342" s="25" t="inlineStr">
        <is>
          <t>https://www.demeure-historique.org/wp-content/uploads/2026/03/Dossier-de-presse-Chateaux-pres-dici-VF-31.03.pdf</t>
        </is>
      </c>
      <c r="D342" s="25" t="inlineStr">
        <is>
          <t>association professionnelle (communiqué)</t>
        </is>
      </c>
      <c r="E342" s="25" t="inlineStr">
        <is>
          <t>2026-10-14</t>
        </is>
      </c>
      <c r="F342" s="25" t="inlineStr">
        <is>
          <t>page_lue</t>
        </is>
      </c>
      <c r="G342" s="25" t="inlineStr">
        <is>
          <t>§7.1 Visites</t>
        </is>
      </c>
      <c r="H342" s="25" t="inlineStr">
        <is>
          <t>moyenne</t>
        </is>
      </c>
    </row>
    <row r="343">
      <c r="A343" s="25" t="inlineStr">
        <is>
          <t>R7-21</t>
        </is>
      </c>
      <c r="B343" s="8" t="inlineStr">
        <is>
          <t>La Demeure Historique - Communiqué « Sauvons nos monuments ! » (31.03.2021, PDF)</t>
        </is>
      </c>
      <c r="C343" s="25" t="inlineStr">
        <is>
          <t>https://www.demeure-historique.org/wp-content/uploads/2022/05/Sauvons-nos-monuments-.pdf</t>
        </is>
      </c>
      <c r="D343" s="25" t="inlineStr">
        <is>
          <t>association professionnelle (communiqué)</t>
        </is>
      </c>
      <c r="E343" s="25" t="inlineStr">
        <is>
          <t>2026-10-14</t>
        </is>
      </c>
      <c r="F343" s="25" t="inlineStr">
        <is>
          <t>page_lue</t>
        </is>
      </c>
      <c r="G343" s="25" t="inlineStr">
        <is>
          <t>§8 Chocs</t>
        </is>
      </c>
      <c r="H343" s="25" t="inlineStr">
        <is>
          <t>moyenne</t>
        </is>
      </c>
    </row>
    <row r="344">
      <c r="A344" s="25" t="inlineStr">
        <is>
          <t>R7-22</t>
        </is>
      </c>
      <c r="B344" s="8" t="inlineStr">
        <is>
          <t>La Demeure Historique - page d'accueil (chiffres clés)</t>
        </is>
      </c>
      <c r="C344" s="25" t="inlineStr">
        <is>
          <t>https://www.demeure-historique.org/</t>
        </is>
      </c>
      <c r="D344" s="25" t="inlineStr">
        <is>
          <t>association professionnelle</t>
        </is>
      </c>
      <c r="E344" s="25" t="inlineStr">
        <is>
          <t>2026-10-14</t>
        </is>
      </c>
      <c r="F344" s="25" t="inlineStr">
        <is>
          <t>page_lue</t>
        </is>
      </c>
      <c r="G344" s="25" t="inlineStr">
        <is>
          <t>§7.1 Visites</t>
        </is>
      </c>
      <c r="H344" s="25" t="inlineStr">
        <is>
          <t>moyenne</t>
        </is>
      </c>
    </row>
    <row r="345">
      <c r="A345" s="25" t="inlineStr">
        <is>
          <t>R7-23</t>
        </is>
      </c>
      <c r="B345" s="8" t="inlineStr">
        <is>
          <t>La Demeure Historique - Dossier « Une vraie stratégie » (octobre 2017, PDF)</t>
        </is>
      </c>
      <c r="C345" s="25" t="inlineStr">
        <is>
          <t>https://demeure-historique.org/wp-content/uploads/2017/11/dossier-une-vraie-strategie-light-2.pdf</t>
        </is>
      </c>
      <c r="D345" s="25" t="inlineStr">
        <is>
          <t>association professionnelle (dossier)</t>
        </is>
      </c>
      <c r="E345" s="25" t="inlineStr">
        <is>
          <t>2026-10-14</t>
        </is>
      </c>
      <c r="F345" s="25" t="inlineStr">
        <is>
          <t>page_lue</t>
        </is>
      </c>
      <c r="G345" s="25" t="inlineStr">
        <is>
          <t>§7.1 Visites, §1.7 ERP, échecs</t>
        </is>
      </c>
      <c r="H345" s="25" t="inlineStr">
        <is>
          <t>moyenne</t>
        </is>
      </c>
    </row>
    <row r="346">
      <c r="A346" s="25" t="inlineStr">
        <is>
          <t>R7-24</t>
        </is>
      </c>
      <c r="B346" s="8" t="inlineStr">
        <is>
          <t>Unimev - Event Data Book 2026 : les chiffres qui font parler notre filière (3 sept. 2026)</t>
        </is>
      </c>
      <c r="C346" s="25" t="inlineStr">
        <is>
          <t>https://www.unimev.fr/articles/abdf3cc1-92a7-f111-9b33-000d3a4c7d4d/event-data-book-2026-les-chiffres-qui-font-parler-notre-filiere</t>
        </is>
      </c>
      <c r="D346" s="25" t="inlineStr">
        <is>
          <t>fédération professionnelle</t>
        </is>
      </c>
      <c r="E346" s="25" t="inlineStr">
        <is>
          <t>2026-10-14</t>
        </is>
      </c>
      <c r="F346" s="25" t="inlineStr">
        <is>
          <t>page_lue</t>
        </is>
      </c>
      <c r="G346" s="25" t="inlineStr">
        <is>
          <t>§2 Séminaires</t>
        </is>
      </c>
      <c r="H346" s="25" t="inlineStr">
        <is>
          <t>moyenne</t>
        </is>
      </c>
    </row>
    <row r="347">
      <c r="A347" s="25" t="inlineStr">
        <is>
          <t>R7-25</t>
        </is>
      </c>
      <c r="B347" s="8" t="inlineStr">
        <is>
          <t>Voyages d'Affaires - B. Abittan (Châteauform') : « Je serai prudent en 2025 » (06/01/2025)</t>
        </is>
      </c>
      <c r="C347" s="25" t="inlineStr">
        <is>
          <t>https://www.voyages-d-affaires.com/?p=188143</t>
        </is>
      </c>
      <c r="D347" s="25" t="inlineStr">
        <is>
          <t>presse professionnelle</t>
        </is>
      </c>
      <c r="E347" s="25" t="inlineStr">
        <is>
          <t>2026-10-14</t>
        </is>
      </c>
      <c r="F347" s="25" t="inlineStr">
        <is>
          <t>page_lue</t>
        </is>
      </c>
      <c r="G347" s="25" t="inlineStr">
        <is>
          <t>§2 Séminaires</t>
        </is>
      </c>
      <c r="H347" s="25" t="inlineStr">
        <is>
          <t>moyenne</t>
        </is>
      </c>
    </row>
    <row r="348">
      <c r="A348" s="25" t="inlineStr">
        <is>
          <t>R7-26</t>
        </is>
      </c>
      <c r="B348" s="8" t="inlineStr">
        <is>
          <t>Voyages d'Affaires - Châteauform' : de nouvelles solutions pour entretenir le lien à distance (28/01/2021)</t>
        </is>
      </c>
      <c r="C348" s="25" t="inlineStr">
        <is>
          <t>https://www.voyages-d-affaires.com/?p=104795</t>
        </is>
      </c>
      <c r="D348" s="25" t="inlineStr">
        <is>
          <t>presse professionnelle</t>
        </is>
      </c>
      <c r="E348" s="25" t="inlineStr">
        <is>
          <t>2026-10-14</t>
        </is>
      </c>
      <c r="F348" s="25" t="inlineStr">
        <is>
          <t>page_lue</t>
        </is>
      </c>
      <c r="G348" s="25" t="inlineStr">
        <is>
          <t>§2 Séminaires, §8 Chocs</t>
        </is>
      </c>
      <c r="H348" s="25" t="inlineStr">
        <is>
          <t>moyenne</t>
        </is>
      </c>
    </row>
    <row r="349">
      <c r="A349" s="25" t="inlineStr">
        <is>
          <t>R7-27</t>
        </is>
      </c>
      <c r="B349" s="8" t="inlineStr">
        <is>
          <t>Château de La Roche-Guyon - Fiche produit séminaires 2023 (PDF)</t>
        </is>
      </c>
      <c r="C349" s="25" t="inlineStr">
        <is>
          <t>https://www.chateaudelarocheguyon.fr/wp-content/uploads/2019/09/1_Ficheproduitseminaire-2023.pdf</t>
        </is>
      </c>
      <c r="D349" s="25" t="inlineStr">
        <is>
          <t>site du domaine (grille tarifaire)</t>
        </is>
      </c>
      <c r="E349" s="25" t="inlineStr">
        <is>
          <t>2026-10-14</t>
        </is>
      </c>
      <c r="F349" s="25" t="inlineStr">
        <is>
          <t>page_lue</t>
        </is>
      </c>
      <c r="G349" s="25" t="inlineStr">
        <is>
          <t>§2.2 Prix séminaires</t>
        </is>
      </c>
      <c r="H349" s="25" t="inlineStr">
        <is>
          <t>haute</t>
        </is>
      </c>
    </row>
    <row r="350">
      <c r="A350" s="25" t="inlineStr">
        <is>
          <t>R7-28</t>
        </is>
      </c>
      <c r="B350" s="8" t="inlineStr">
        <is>
          <t>Funbooker - fiche Château de Châtenay (95)</t>
        </is>
      </c>
      <c r="C350" s="25" t="inlineStr">
        <is>
          <t>https://www.funbooker.com/fr/annonce/chateau-de-chatenay-95/voir</t>
        </is>
      </c>
      <c r="D350" s="25" t="inlineStr">
        <is>
          <t>plateforme (annuaire)</t>
        </is>
      </c>
      <c r="E350" s="25" t="inlineStr">
        <is>
          <t>2026-10-14</t>
        </is>
      </c>
      <c r="F350" s="25" t="inlineStr">
        <is>
          <t>page_lue</t>
        </is>
      </c>
      <c r="G350" s="25" t="inlineStr">
        <is>
          <t>§2.2 Prix séminaires</t>
        </is>
      </c>
      <c r="H350" s="25" t="inlineStr">
        <is>
          <t>moyenne</t>
        </is>
      </c>
    </row>
    <row r="351">
      <c r="A351" s="25" t="inlineStr">
        <is>
          <t>R7-29</t>
        </is>
      </c>
      <c r="B351" s="8" t="inlineStr">
        <is>
          <t>Funbooker - fiche Château de Couches (71)</t>
        </is>
      </c>
      <c r="C351" s="25" t="inlineStr">
        <is>
          <t>https://www.funbooker.com/fr/annonce/chateau-de-couches-dans-la-saone-et-loire-71/voir</t>
        </is>
      </c>
      <c r="D351" s="25" t="inlineStr">
        <is>
          <t>plateforme (annuaire)</t>
        </is>
      </c>
      <c r="E351" s="25" t="inlineStr">
        <is>
          <t>2026-10-14</t>
        </is>
      </c>
      <c r="F351" s="25" t="inlineStr">
        <is>
          <t>page_lue</t>
        </is>
      </c>
      <c r="G351" s="25" t="inlineStr">
        <is>
          <t>§2.2 Prix séminaires</t>
        </is>
      </c>
      <c r="H351" s="25" t="inlineStr">
        <is>
          <t>faible</t>
        </is>
      </c>
    </row>
    <row r="352">
      <c r="A352" s="25" t="inlineStr">
        <is>
          <t>R7-30</t>
        </is>
      </c>
      <c r="B352" s="8" t="inlineStr">
        <is>
          <t>Funbooker - fiche L'Ermitage (69)</t>
        </is>
      </c>
      <c r="C352" s="25" t="inlineStr">
        <is>
          <t>https://www.funbooker.com/fr/annonce/lermitage-69/voir</t>
        </is>
      </c>
      <c r="D352" s="25" t="inlineStr">
        <is>
          <t>plateforme (annuaire)</t>
        </is>
      </c>
      <c r="E352" s="25" t="inlineStr">
        <is>
          <t>2026-10-14</t>
        </is>
      </c>
      <c r="F352" s="25" t="inlineStr">
        <is>
          <t>extrait</t>
        </is>
      </c>
      <c r="G352" s="25" t="inlineStr">
        <is>
          <t>§2.2 Prix séminaires</t>
        </is>
      </c>
      <c r="H352" s="25" t="inlineStr">
        <is>
          <t>faible</t>
        </is>
      </c>
    </row>
    <row r="353">
      <c r="A353" s="25" t="inlineStr">
        <is>
          <t>R7-31</t>
        </is>
      </c>
      <c r="B353" s="8" t="inlineStr">
        <is>
          <t>1001 Salles Pro - Séminaire d'entreprise à Paris : comment choisir (page en erreur 522)</t>
        </is>
      </c>
      <c r="C353" s="25" t="inlineStr">
        <is>
          <t>https://www.1001salles.com/pro/blog/article/2665/seminaire-d-entreprise-a-paris-comment-choisir-le-bon-lieu-et-le-bon-format</t>
        </is>
      </c>
      <c r="D353" s="25" t="inlineStr">
        <is>
          <t>blog commercial</t>
        </is>
      </c>
      <c r="E353" s="25" t="inlineStr">
        <is>
          <t>2026-10-14</t>
        </is>
      </c>
      <c r="F353" s="25" t="inlineStr">
        <is>
          <t>extrait</t>
        </is>
      </c>
      <c r="G353" s="25" t="inlineStr">
        <is>
          <t>§2.2 Prix séminaires</t>
        </is>
      </c>
      <c r="H353" s="25" t="inlineStr">
        <is>
          <t>faible</t>
        </is>
      </c>
    </row>
    <row r="354">
      <c r="A354" s="25" t="inlineStr">
        <is>
          <t>R7-32</t>
        </is>
      </c>
      <c r="B354" s="8" t="inlineStr">
        <is>
          <t>Giggster - Location de châteaux pour tournages (France, catégorie castle)</t>
        </is>
      </c>
      <c r="C354" s="25" t="inlineStr">
        <is>
          <t>https://giggster.com/fr/book/castle</t>
        </is>
      </c>
      <c r="D354" s="25" t="inlineStr">
        <is>
          <t>plateforme (annuaire)</t>
        </is>
      </c>
      <c r="E354" s="25" t="inlineStr">
        <is>
          <t>2026-10-14</t>
        </is>
      </c>
      <c r="F354" s="25" t="inlineStr">
        <is>
          <t>page_lue</t>
        </is>
      </c>
      <c r="G354" s="25" t="inlineStr">
        <is>
          <t>§3.2 Tournages</t>
        </is>
      </c>
      <c r="H354" s="25" t="inlineStr">
        <is>
          <t>moyenne</t>
        </is>
      </c>
    </row>
    <row r="355">
      <c r="A355" s="25" t="inlineStr">
        <is>
          <t>R7-33</t>
        </is>
      </c>
      <c r="B355" s="8" t="inlineStr">
        <is>
          <t>Château de Gudanes - page Photography &amp; Film (commercial)</t>
        </is>
      </c>
      <c r="C355" s="25" t="inlineStr">
        <is>
          <t>https://www.chateaugudanes.com/commercial</t>
        </is>
      </c>
      <c r="D355" s="25" t="inlineStr">
        <is>
          <t>site du domaine</t>
        </is>
      </c>
      <c r="E355" s="25" t="inlineStr">
        <is>
          <t>2026-10-14</t>
        </is>
      </c>
      <c r="F355" s="25" t="inlineStr">
        <is>
          <t>page_lue</t>
        </is>
      </c>
      <c r="G355" s="25" t="inlineStr">
        <is>
          <t>§3.2 Tournages</t>
        </is>
      </c>
      <c r="H355" s="25" t="inlineStr">
        <is>
          <t>moyenne</t>
        </is>
      </c>
    </row>
    <row r="356">
      <c r="A356" s="25" t="inlineStr">
        <is>
          <t>R7-34</t>
        </is>
      </c>
      <c r="B356" s="8" t="inlineStr">
        <is>
          <t>Fondation du Château de Chillon - formulaire demande de tournage professionnels (2025, PDF)</t>
        </is>
      </c>
      <c r="C356" s="25" t="inlineStr">
        <is>
          <t>https://www.chillon.ch/wp-content/uploads/2025/12/demande-de-tournage-professionnels-fr.pdf</t>
        </is>
      </c>
      <c r="D356" s="25" t="inlineStr">
        <is>
          <t>fondation (grille)</t>
        </is>
      </c>
      <c r="E356" s="25" t="inlineStr">
        <is>
          <t>2026-10-14</t>
        </is>
      </c>
      <c r="F356" s="25" t="inlineStr">
        <is>
          <t>extrait</t>
        </is>
      </c>
      <c r="G356" s="25" t="inlineStr">
        <is>
          <t>§3.2 Tournages</t>
        </is>
      </c>
      <c r="H356" s="25" t="inlineStr">
        <is>
          <t>moyenne</t>
        </is>
      </c>
    </row>
    <row r="357">
      <c r="A357" s="25" t="inlineStr">
        <is>
          <t>R7-35</t>
        </is>
      </c>
      <c r="B357" s="8" t="inlineStr">
        <is>
          <t>Slate.fr - James Bond à Versailles ? (date non vue, page en 403)</t>
        </is>
      </c>
      <c r="C357" s="25" t="inlineStr">
        <is>
          <t>https://www.slate.fr/story/19617/james-bond-versailles</t>
        </is>
      </c>
      <c r="D357" s="25" t="inlineStr">
        <is>
          <t>presse</t>
        </is>
      </c>
      <c r="E357" s="25" t="inlineStr">
        <is>
          <t>2026-10-14</t>
        </is>
      </c>
      <c r="F357" s="25" t="inlineStr">
        <is>
          <t>extrait</t>
        </is>
      </c>
      <c r="G357" s="25" t="inlineStr">
        <is>
          <t>§3.2 Tournages</t>
        </is>
      </c>
      <c r="H357" s="25" t="inlineStr">
        <is>
          <t>faible</t>
        </is>
      </c>
    </row>
    <row r="358">
      <c r="A358" s="25" t="inlineStr">
        <is>
          <t>R7-36</t>
        </is>
      </c>
      <c r="B358" s="8" t="inlineStr">
        <is>
          <t>Film Paris Region - Chiffres clefs</t>
        </is>
      </c>
      <c r="C358" s="25" t="inlineStr">
        <is>
          <t>https://www.filmparisregion.com/fr/choisir-ile-de-france/chiffres-clefs</t>
        </is>
      </c>
      <c r="D358" s="25" t="inlineStr">
        <is>
          <t>commission du film (agence régionale)</t>
        </is>
      </c>
      <c r="E358" s="25" t="inlineStr">
        <is>
          <t>2026-10-14</t>
        </is>
      </c>
      <c r="F358" s="25" t="inlineStr">
        <is>
          <t>page_lue</t>
        </is>
      </c>
      <c r="G358" s="25" t="inlineStr">
        <is>
          <t>§3.3 Tournages</t>
        </is>
      </c>
      <c r="H358" s="25" t="inlineStr">
        <is>
          <t>haute</t>
        </is>
      </c>
    </row>
    <row r="359">
      <c r="A359" s="25" t="inlineStr">
        <is>
          <t>R7-37</t>
        </is>
      </c>
      <c r="B359" s="8" t="inlineStr">
        <is>
          <t>Film Paris Region - Base décors</t>
        </is>
      </c>
      <c r="C359" s="25" t="inlineStr">
        <is>
          <t>https://www.filmparisregion.com/fr/base-decors</t>
        </is>
      </c>
      <c r="D359" s="25" t="inlineStr">
        <is>
          <t>commission du film (agence régionale)</t>
        </is>
      </c>
      <c r="E359" s="25" t="inlineStr">
        <is>
          <t>2026-10-14</t>
        </is>
      </c>
      <c r="F359" s="25" t="inlineStr">
        <is>
          <t>page_lue</t>
        </is>
      </c>
      <c r="G359" s="25" t="inlineStr">
        <is>
          <t>§3.3 Tournages</t>
        </is>
      </c>
      <c r="H359" s="25" t="inlineStr">
        <is>
          <t>haute</t>
        </is>
      </c>
    </row>
    <row r="360">
      <c r="A360" s="25" t="inlineStr">
        <is>
          <t>R7-38</t>
        </is>
      </c>
      <c r="B360" s="8" t="inlineStr">
        <is>
          <t>UMIH-GNC - Observatoire mensuel des performances hôtelières Décembre 2025 (données MKG_destination, PDF)</t>
        </is>
      </c>
      <c r="C360" s="25" t="inlineStr">
        <is>
          <t>https://www.umih.fr/assets/files/site/ressources/observatoires-et-etudes/Observatoire_mensuel_des_performances_hotelieres_UMIH___GNC_Decembre_2025.pdf</t>
        </is>
      </c>
      <c r="D360" s="25" t="inlineStr">
        <is>
          <t>organisation professionnelle (données MKG)</t>
        </is>
      </c>
      <c r="E360" s="25" t="inlineStr">
        <is>
          <t>2026-10-14</t>
        </is>
      </c>
      <c r="F360" s="25" t="inlineStr">
        <is>
          <t>page_lue</t>
        </is>
      </c>
      <c r="G360" s="25" t="inlineStr">
        <is>
          <t>§4.1 Hôtels</t>
        </is>
      </c>
      <c r="H360" s="25" t="inlineStr">
        <is>
          <t>haute</t>
        </is>
      </c>
    </row>
    <row r="361">
      <c r="A361" s="25" t="inlineStr">
        <is>
          <t>R7-39</t>
        </is>
      </c>
      <c r="B361" s="8" t="inlineStr">
        <is>
          <t>Voyages d'Affaires - Hôtellerie française : le bilan 2025 et les perspectives d'In Extenso (09/02/2026)</t>
        </is>
      </c>
      <c r="C361" s="25" t="inlineStr">
        <is>
          <t>https://www.voyages-d-affaires.com/?p=216609</t>
        </is>
      </c>
      <c r="D361" s="25" t="inlineStr">
        <is>
          <t>presse professionnelle (données In Extenso)</t>
        </is>
      </c>
      <c r="E361" s="25" t="inlineStr">
        <is>
          <t>2026-10-14</t>
        </is>
      </c>
      <c r="F361" s="25" t="inlineStr">
        <is>
          <t>page_lue</t>
        </is>
      </c>
      <c r="G361" s="25" t="inlineStr">
        <is>
          <t>§4.1 Hôtels</t>
        </is>
      </c>
      <c r="H361" s="25" t="inlineStr">
        <is>
          <t>moyenne</t>
        </is>
      </c>
    </row>
    <row r="362">
      <c r="A362" s="25" t="inlineStr">
        <is>
          <t>R7-40</t>
        </is>
      </c>
      <c r="B362" s="8" t="inlineStr">
        <is>
          <t>TourMaG - Bilan 2025 : le chiffre d'affaires de l'hôtellerie française a progressé de 2% (09/02/2026)</t>
        </is>
      </c>
      <c r="C362" s="25" t="inlineStr">
        <is>
          <t>https://www.tourmag.com/Bilan-2025-le-chiffre-d-affaires-de-l-hotellerie-francaise-a-progresse-de-2_a130416.html</t>
        </is>
      </c>
      <c r="D362" s="25" t="inlineStr">
        <is>
          <t>presse professionnelle (données In Extenso)</t>
        </is>
      </c>
      <c r="E362" s="25" t="inlineStr">
        <is>
          <t>2026-10-14</t>
        </is>
      </c>
      <c r="F362" s="25" t="inlineStr">
        <is>
          <t>page_lue</t>
        </is>
      </c>
      <c r="G362" s="25" t="inlineStr">
        <is>
          <t>§4.1 Hôtels</t>
        </is>
      </c>
      <c r="H362" s="25" t="inlineStr">
        <is>
          <t>moyenne</t>
        </is>
      </c>
    </row>
    <row r="363">
      <c r="A363" s="25" t="inlineStr">
        <is>
          <t>R7-41</t>
        </is>
      </c>
      <c r="B363" s="8" t="inlineStr">
        <is>
          <t>L'Hôtellerie Restauration - L'hôtel Louise de la Vallière, un château comme à l'époque royale (18/10/2022)</t>
        </is>
      </c>
      <c r="C363" s="25" t="inlineStr">
        <is>
          <t>https://www.lhotellerie-restauration.fr/actualite/l-hotel-louise-de-la-valliere-un-chateau-comme-a-l-epoque-royale</t>
        </is>
      </c>
      <c r="D363" s="25" t="inlineStr">
        <is>
          <t>presse professionnelle</t>
        </is>
      </c>
      <c r="E363" s="25" t="inlineStr">
        <is>
          <t>2026-10-14</t>
        </is>
      </c>
      <c r="F363" s="25" t="inlineStr">
        <is>
          <t>page_lue</t>
        </is>
      </c>
      <c r="G363" s="25" t="inlineStr">
        <is>
          <t>§4.2 Investissement hôtel</t>
        </is>
      </c>
      <c r="H363" s="25" t="inlineStr">
        <is>
          <t>moyenne</t>
        </is>
      </c>
    </row>
    <row r="364">
      <c r="A364" s="25" t="inlineStr">
        <is>
          <t>R7-42</t>
        </is>
      </c>
      <c r="B364" s="8" t="inlineStr">
        <is>
          <t>Le Journal des Entreprises - LJ Hôtels transforme un château biterrois en futur 5 étoiles (page en 503)</t>
        </is>
      </c>
      <c r="C364" s="25" t="inlineStr">
        <is>
          <t>https://www.lejournaldesentreprises.com/article/lj-hotels-transforme-un-chateau-biterrois-en-futur-5-etoiles-2108334</t>
        </is>
      </c>
      <c r="D364" s="25" t="inlineStr">
        <is>
          <t>presse économique régionale</t>
        </is>
      </c>
      <c r="E364" s="25" t="inlineStr">
        <is>
          <t>2026-10-14</t>
        </is>
      </c>
      <c r="F364" s="25" t="inlineStr">
        <is>
          <t>extrait</t>
        </is>
      </c>
      <c r="G364" s="25" t="inlineStr">
        <is>
          <t>§4.2 Investissement hôtel</t>
        </is>
      </c>
      <c r="H364" s="25" t="inlineStr">
        <is>
          <t>moyenne</t>
        </is>
      </c>
    </row>
    <row r="365">
      <c r="A365" s="25" t="inlineStr">
        <is>
          <t>R7-43</t>
        </is>
      </c>
      <c r="B365" s="8" t="inlineStr">
        <is>
          <t>Le Journal des Entreprises - Le Château de Portereau se métamorphose en hôtel 4 étoiles (page en 503)</t>
        </is>
      </c>
      <c r="C365" s="25" t="inlineStr">
        <is>
          <t>https://www.lejournaldesentreprises.com/article/ancien-siege-social-de-maisons-du-monde-le-chateau-de-portereau-se-metamorphose-en-hotel-4-etoiles-2136672</t>
        </is>
      </c>
      <c r="D365" s="25" t="inlineStr">
        <is>
          <t>presse économique régionale</t>
        </is>
      </c>
      <c r="E365" s="25" t="inlineStr">
        <is>
          <t>2026-10-14</t>
        </is>
      </c>
      <c r="F365" s="25" t="inlineStr">
        <is>
          <t>extrait</t>
        </is>
      </c>
      <c r="G365" s="25" t="inlineStr">
        <is>
          <t>§4.2 Investissement hôtel</t>
        </is>
      </c>
      <c r="H365" s="25" t="inlineStr">
        <is>
          <t>moyenne</t>
        </is>
      </c>
    </row>
    <row r="366">
      <c r="A366" s="25" t="inlineStr">
        <is>
          <t>R7-44</t>
        </is>
      </c>
      <c r="B366" s="8" t="inlineStr">
        <is>
          <t>Hospitality ON - 5e étoile pour le Château Eza</t>
        </is>
      </c>
      <c r="C366" s="25" t="inlineStr">
        <is>
          <t>https://hospitality-on.com/fr/developpement/5e-etoile-pour-le-chateau-eza</t>
        </is>
      </c>
      <c r="D366" s="25" t="inlineStr">
        <is>
          <t>presse professionnelle</t>
        </is>
      </c>
      <c r="E366" s="25" t="inlineStr">
        <is>
          <t>2026-10-14</t>
        </is>
      </c>
      <c r="F366" s="25" t="inlineStr">
        <is>
          <t>extrait</t>
        </is>
      </c>
      <c r="G366" s="25" t="inlineStr">
        <is>
          <t>§4.2 Investissement hôtel</t>
        </is>
      </c>
      <c r="H366" s="25" t="inlineStr">
        <is>
          <t>faible</t>
        </is>
      </c>
    </row>
    <row r="367">
      <c r="A367" s="25" t="inlineStr">
        <is>
          <t>R7-45</t>
        </is>
      </c>
      <c r="B367" s="8" t="inlineStr">
        <is>
          <t>HVS - Hotel Management Contracts in Europe (20/06/2007)</t>
        </is>
      </c>
      <c r="C367" s="25" t="inlineStr">
        <is>
          <t>https://www.hvs.com/article/2820-Hotel-Management-Contracts-In-Europe</t>
        </is>
      </c>
      <c r="D367" s="25" t="inlineStr">
        <is>
          <t>cabinet de conseil hôtelier</t>
        </is>
      </c>
      <c r="E367" s="25" t="inlineStr">
        <is>
          <t>2026-10-14</t>
        </is>
      </c>
      <c r="F367" s="25" t="inlineStr">
        <is>
          <t>page_lue</t>
        </is>
      </c>
      <c r="G367" s="25" t="inlineStr">
        <is>
          <t>§4.3 Contrats de gestion</t>
        </is>
      </c>
      <c r="H367" s="25" t="inlineStr">
        <is>
          <t>moyenne</t>
        </is>
      </c>
    </row>
    <row r="368">
      <c r="A368" s="25" t="inlineStr">
        <is>
          <t>R7-46</t>
        </is>
      </c>
      <c r="B368" s="8" t="inlineStr">
        <is>
          <t>Batiweb - Château de Versailles : Lov Hotel Collection retenu pour réaliser un hôtel de luxe</t>
        </is>
      </c>
      <c r="C368" s="25" t="inlineStr">
        <is>
          <t>https://www.batiweb.com/actualites/architecture/chateau-de-versailles-lov-hotel-collection-retenu-pour-realiser-un-hotel-de-luxe-28159</t>
        </is>
      </c>
      <c r="D368" s="25" t="inlineStr">
        <is>
          <t>presse professionnelle</t>
        </is>
      </c>
      <c r="E368" s="25" t="inlineStr">
        <is>
          <t>2026-10-14</t>
        </is>
      </c>
      <c r="F368" s="25" t="inlineStr">
        <is>
          <t>extrait</t>
        </is>
      </c>
      <c r="G368" s="25" t="inlineStr">
        <is>
          <t>§4.3 Baux</t>
        </is>
      </c>
      <c r="H368" s="25" t="inlineStr">
        <is>
          <t>faible</t>
        </is>
      </c>
    </row>
    <row r="369">
      <c r="A369" s="25" t="inlineStr">
        <is>
          <t>R7-47</t>
        </is>
      </c>
      <c r="B369" s="8" t="inlineStr">
        <is>
          <t>Hospitality ON - French luxury hotels confirm a model driven by price, not by volumes (page en 403)</t>
        </is>
      </c>
      <c r="C369" s="25" t="inlineStr">
        <is>
          <t>https://hospitality-on.com/en/hospitality/french-luxury-hotels-confirm-model-driven-price-not-volumes</t>
        </is>
      </c>
      <c r="D369" s="25" t="inlineStr">
        <is>
          <t>presse professionnelle</t>
        </is>
      </c>
      <c r="E369" s="25" t="inlineStr">
        <is>
          <t>2026-10-14</t>
        </is>
      </c>
      <c r="F369" s="25" t="inlineStr">
        <is>
          <t>extrait</t>
        </is>
      </c>
      <c r="G369" s="25" t="inlineStr">
        <is>
          <t>§4.4 GOP</t>
        </is>
      </c>
      <c r="H369" s="25" t="inlineStr">
        <is>
          <t>faible</t>
        </is>
      </c>
    </row>
    <row r="370">
      <c r="A370" s="25" t="inlineStr">
        <is>
          <t>R7-48</t>
        </is>
      </c>
      <c r="B370" s="8" t="inlineStr">
        <is>
          <t>L'Écho touristique - Gîtes de France : une hausse des nuitées de 3% en 2024 (page en 403)</t>
        </is>
      </c>
      <c r="C370" s="25" t="inlineStr">
        <is>
          <t>https://www.lechotouristique.com/article/gites-de-france-une-hausse-des-nuitees-de-3-en-2024</t>
        </is>
      </c>
      <c r="D370" s="25" t="inlineStr">
        <is>
          <t>presse professionnelle</t>
        </is>
      </c>
      <c r="E370" s="25" t="inlineStr">
        <is>
          <t>2026-10-14</t>
        </is>
      </c>
      <c r="F370" s="25" t="inlineStr">
        <is>
          <t>extrait</t>
        </is>
      </c>
      <c r="G370" s="25" t="inlineStr">
        <is>
          <t>§5.1 Gîtes</t>
        </is>
      </c>
      <c r="H370" s="25" t="inlineStr">
        <is>
          <t>moyenne</t>
        </is>
      </c>
    </row>
    <row r="371">
      <c r="A371" s="25" t="inlineStr">
        <is>
          <t>R7-49</t>
        </is>
      </c>
      <c r="B371" s="8" t="inlineStr">
        <is>
          <t>TourMaG - Vacances d'été 2025 : Gîtes de France dresse un bilan positif (03/09/2025)</t>
        </is>
      </c>
      <c r="C371" s="25" t="inlineStr">
        <is>
          <t>https://www.tourmag.com/Vacances-d-ete-2025-Gites-de-France-dresse-un-bilan-positif_a128279.html</t>
        </is>
      </c>
      <c r="D371" s="25" t="inlineStr">
        <is>
          <t>presse professionnelle</t>
        </is>
      </c>
      <c r="E371" s="25" t="inlineStr">
        <is>
          <t>2026-10-14</t>
        </is>
      </c>
      <c r="F371" s="25" t="inlineStr">
        <is>
          <t>page_lue</t>
        </is>
      </c>
      <c r="G371" s="25" t="inlineStr">
        <is>
          <t>§5.1 Gîtes</t>
        </is>
      </c>
      <c r="H371" s="25" t="inlineStr">
        <is>
          <t>moyenne</t>
        </is>
      </c>
    </row>
    <row r="372">
      <c r="A372" s="25" t="inlineStr">
        <is>
          <t>R7-50</t>
        </is>
      </c>
      <c r="B372" s="8" t="inlineStr">
        <is>
          <t>Ardèche Tourisme (observatoire) - Les meublés de tourisme, bilan 2024 (PDF)</t>
        </is>
      </c>
      <c r="C372" s="25" t="inlineStr">
        <is>
          <t>https://pro.ardeche-guide.com/wp-content/uploads/2025/03/les-gites-bilan-2024.pdf</t>
        </is>
      </c>
      <c r="D372" s="25" t="inlineStr">
        <is>
          <t>observatoire départemental du tourisme</t>
        </is>
      </c>
      <c r="E372" s="25" t="inlineStr">
        <is>
          <t>2026-10-14</t>
        </is>
      </c>
      <c r="F372" s="25" t="inlineStr">
        <is>
          <t>page_lue</t>
        </is>
      </c>
      <c r="G372" s="25" t="inlineStr">
        <is>
          <t>§5.1 Gîtes</t>
        </is>
      </c>
      <c r="H372" s="25" t="inlineStr">
        <is>
          <t>haute</t>
        </is>
      </c>
    </row>
    <row r="373">
      <c r="A373" s="25" t="inlineStr">
        <is>
          <t>R7-51</t>
        </is>
      </c>
      <c r="B373" s="8" t="inlineStr">
        <is>
          <t>modelesdebusinessplan.com - marché des logements de tourisme (panier moyen gîtes / chambres d'hôtes)</t>
        </is>
      </c>
      <c r="C373" s="25" t="inlineStr">
        <is>
          <t>https://modelesdebusinessplan.com/blogs/infos/marche-logements-tourisme-chiffres</t>
        </is>
      </c>
      <c r="D373" s="25" t="inlineStr">
        <is>
          <t>site commercial</t>
        </is>
      </c>
      <c r="E373" s="25" t="inlineStr">
        <is>
          <t>2026-10-14</t>
        </is>
      </c>
      <c r="F373" s="25" t="inlineStr">
        <is>
          <t>extrait</t>
        </is>
      </c>
      <c r="G373" s="25" t="inlineStr">
        <is>
          <t>§5.1 Gîtes</t>
        </is>
      </c>
      <c r="H373" s="25" t="inlineStr">
        <is>
          <t>faible</t>
        </is>
      </c>
    </row>
    <row r="374">
      <c r="A374" s="25" t="inlineStr">
        <is>
          <t>R7-52</t>
        </is>
      </c>
      <c r="B374" s="8" t="inlineStr">
        <is>
          <t>Service-Public.gouv.fr - fiche F2043 Location d'une résidence secondaire en meublé de tourisme (vérifiée le 21/05/2026)</t>
        </is>
      </c>
      <c r="C374" s="25" t="inlineStr">
        <is>
          <t>https://www.service-public.gouv.fr/particuliers/vosdroits/F2043</t>
        </is>
      </c>
      <c r="D374" s="25" t="inlineStr">
        <is>
          <t>site officiel</t>
        </is>
      </c>
      <c r="E374" s="25" t="inlineStr">
        <is>
          <t>2026-10-14</t>
        </is>
      </c>
      <c r="F374" s="25" t="inlineStr">
        <is>
          <t>page_lue</t>
        </is>
      </c>
      <c r="G374" s="25" t="inlineStr">
        <is>
          <t>§5.2 Réglementation</t>
        </is>
      </c>
      <c r="H374" s="25" t="inlineStr">
        <is>
          <t>haute</t>
        </is>
      </c>
    </row>
    <row r="375">
      <c r="A375" s="25" t="inlineStr">
        <is>
          <t>R7-53</t>
        </is>
      </c>
      <c r="B375" s="8" t="inlineStr">
        <is>
          <t>Le Collectionist - page d'accueil (nombre de propriétés)</t>
        </is>
      </c>
      <c r="C375" s="25" t="inlineStr">
        <is>
          <t>https://www.lecollectionist.com/fr</t>
        </is>
      </c>
      <c r="D375" s="25" t="inlineStr">
        <is>
          <t>plateforme de location de luxe</t>
        </is>
      </c>
      <c r="E375" s="25" t="inlineStr">
        <is>
          <t>2026-10-14</t>
        </is>
      </c>
      <c r="F375" s="25" t="inlineStr">
        <is>
          <t>page_lue</t>
        </is>
      </c>
      <c r="G375" s="25" t="inlineStr">
        <is>
          <t>§5.3 Location luxe</t>
        </is>
      </c>
      <c r="H375" s="25" t="inlineStr">
        <is>
          <t>moyenne</t>
        </is>
      </c>
    </row>
    <row r="376">
      <c r="A376" s="25" t="inlineStr">
        <is>
          <t>R7-54</t>
        </is>
      </c>
      <c r="B376" s="8" t="inlineStr">
        <is>
          <t>Le Collectionist - Location villas de luxe Normandie</t>
        </is>
      </c>
      <c r="C376" s="25" t="inlineStr">
        <is>
          <t>https://www.lecollectionist.com/fr/location-villas-luxe/normandie</t>
        </is>
      </c>
      <c r="D376" s="25" t="inlineStr">
        <is>
          <t>plateforme de location de luxe</t>
        </is>
      </c>
      <c r="E376" s="25" t="inlineStr">
        <is>
          <t>2026-10-14</t>
        </is>
      </c>
      <c r="F376" s="25" t="inlineStr">
        <is>
          <t>page_lue</t>
        </is>
      </c>
      <c r="G376" s="25" t="inlineStr">
        <is>
          <t>§5.3 Location luxe</t>
        </is>
      </c>
      <c r="H376" s="25" t="inlineStr">
        <is>
          <t>moyenne</t>
        </is>
      </c>
    </row>
    <row r="377">
      <c r="A377" s="25" t="inlineStr">
        <is>
          <t>R7-55</t>
        </is>
      </c>
      <c r="B377" s="8" t="inlineStr">
        <is>
          <t>Le Collectionist - Location villas de luxe Provence</t>
        </is>
      </c>
      <c r="C377" s="25" t="inlineStr">
        <is>
          <t>https://www.lecollectionist.com/fr/location-villas-luxe/provence</t>
        </is>
      </c>
      <c r="D377" s="25" t="inlineStr">
        <is>
          <t>plateforme de location de luxe</t>
        </is>
      </c>
      <c r="E377" s="25" t="inlineStr">
        <is>
          <t>2026-10-14</t>
        </is>
      </c>
      <c r="F377" s="25" t="inlineStr">
        <is>
          <t>page_lue</t>
        </is>
      </c>
      <c r="G377" s="25" t="inlineStr">
        <is>
          <t>§5.3 Location luxe</t>
        </is>
      </c>
      <c r="H377" s="25" t="inlineStr">
        <is>
          <t>moyenne</t>
        </is>
      </c>
    </row>
    <row r="378">
      <c r="A378" s="25" t="inlineStr">
        <is>
          <t>R7-56</t>
        </is>
      </c>
      <c r="B378" s="8" t="inlineStr">
        <is>
          <t>Le Collectionist - Location villas de luxe Dordogne-Périgord</t>
        </is>
      </c>
      <c r="C378" s="25" t="inlineStr">
        <is>
          <t>https://www.lecollectionist.com/fr/location-villas-luxe/dordogne-perigord</t>
        </is>
      </c>
      <c r="D378" s="25" t="inlineStr">
        <is>
          <t>plateforme de location de luxe</t>
        </is>
      </c>
      <c r="E378" s="25" t="inlineStr">
        <is>
          <t>2026-10-14</t>
        </is>
      </c>
      <c r="F378" s="25" t="inlineStr">
        <is>
          <t>page_lue</t>
        </is>
      </c>
      <c r="G378" s="25" t="inlineStr">
        <is>
          <t>§5.3 Location luxe</t>
        </is>
      </c>
      <c r="H378" s="25" t="inlineStr">
        <is>
          <t>moyenne</t>
        </is>
      </c>
    </row>
    <row r="379">
      <c r="A379" s="25" t="inlineStr">
        <is>
          <t>R7-57</t>
        </is>
      </c>
      <c r="B379" s="8" t="inlineStr">
        <is>
          <t>Le Collectionist - Location villas de luxe environs de Bordeaux</t>
        </is>
      </c>
      <c r="C379" s="25" t="inlineStr">
        <is>
          <t>https://www.lecollectionist.com/fr/location-villas-luxe/environs-de-bordeaux</t>
        </is>
      </c>
      <c r="D379" s="25" t="inlineStr">
        <is>
          <t>plateforme de location de luxe</t>
        </is>
      </c>
      <c r="E379" s="25" t="inlineStr">
        <is>
          <t>2026-10-14</t>
        </is>
      </c>
      <c r="F379" s="25" t="inlineStr">
        <is>
          <t>page_lue</t>
        </is>
      </c>
      <c r="G379" s="25" t="inlineStr">
        <is>
          <t>§5.3 Location luxe</t>
        </is>
      </c>
      <c r="H379" s="25" t="inlineStr">
        <is>
          <t>moyenne</t>
        </is>
      </c>
    </row>
    <row r="380">
      <c r="A380" s="25" t="inlineStr">
        <is>
          <t>R7-58</t>
        </is>
      </c>
      <c r="B380" s="8" t="inlineStr">
        <is>
          <t>TourMaG - Hébergements insolites : un marché en croissance qui s'organise (20/07/2022, étude Protourisme)</t>
        </is>
      </c>
      <c r="C380" s="25" t="inlineStr">
        <is>
          <t>https://www.tourmag.com/Hebergements-insolites-un-marche-en-croissance-qui-s-organise_a114762.html</t>
        </is>
      </c>
      <c r="D380" s="25" t="inlineStr">
        <is>
          <t>presse professionnelle (étude Protourisme)</t>
        </is>
      </c>
      <c r="E380" s="25" t="inlineStr">
        <is>
          <t>2026-10-14</t>
        </is>
      </c>
      <c r="F380" s="25" t="inlineStr">
        <is>
          <t>page_lue</t>
        </is>
      </c>
      <c r="G380" s="25" t="inlineStr">
        <is>
          <t>§6 Glamping</t>
        </is>
      </c>
      <c r="H380" s="25" t="inlineStr">
        <is>
          <t>moyenne</t>
        </is>
      </c>
    </row>
    <row r="381">
      <c r="A381" s="25" t="inlineStr">
        <is>
          <t>R7-59</t>
        </is>
      </c>
      <c r="B381" s="8" t="inlineStr">
        <is>
          <t>Hospitality ON - Les hébergements insolites arrivent à l'âge de raison (3e observatoire, page en 403)</t>
        </is>
      </c>
      <c r="C381" s="25" t="inlineStr">
        <is>
          <t>https://hospitality-on.com/fr/insolite/les-hebergements-insolites-arrivent-lage-de-raison-selon-le-3e-observatoire-du-secteur</t>
        </is>
      </c>
      <c r="D381" s="25" t="inlineStr">
        <is>
          <t>presse professionnelle</t>
        </is>
      </c>
      <c r="E381" s="25" t="inlineStr">
        <is>
          <t>2026-10-14</t>
        </is>
      </c>
      <c r="F381" s="25" t="inlineStr">
        <is>
          <t>extrait</t>
        </is>
      </c>
      <c r="G381" s="25" t="inlineStr">
        <is>
          <t>§6 Glamping</t>
        </is>
      </c>
      <c r="H381" s="25" t="inlineStr">
        <is>
          <t>moyenne</t>
        </is>
      </c>
    </row>
    <row r="382">
      <c r="A382" s="25" t="inlineStr">
        <is>
          <t>R7-60</t>
        </is>
      </c>
      <c r="B382" s="8" t="inlineStr">
        <is>
          <t>Tarn-et-Garonne Tourisme - Créer son hébergement insolite (liste et tarifs)</t>
        </is>
      </c>
      <c r="C382" s="25" t="inlineStr">
        <is>
          <t>https://tourisme-tarnetgaronne.fr/app/uploads/tarnetgaronne/2022/11/Creer-son-hebergement-insolite.pdf</t>
        </is>
      </c>
      <c r="D382" s="25" t="inlineStr">
        <is>
          <t>agence départementale du tourisme</t>
        </is>
      </c>
      <c r="E382" s="25" t="inlineStr">
        <is>
          <t>2026-10-14</t>
        </is>
      </c>
      <c r="F382" s="25" t="inlineStr">
        <is>
          <t>page_lue</t>
        </is>
      </c>
      <c r="G382" s="25" t="inlineStr">
        <is>
          <t>§6 Glamping</t>
        </is>
      </c>
      <c r="H382" s="25" t="inlineStr">
        <is>
          <t>moyenne</t>
        </is>
      </c>
    </row>
    <row r="383">
      <c r="A383" s="25" t="inlineStr">
        <is>
          <t>R7-61</t>
        </is>
      </c>
      <c r="B383" s="8" t="inlineStr">
        <is>
          <t>Beancount.io - Glamping business bookkeeping guide (2026)</t>
        </is>
      </c>
      <c r="C383" s="25" t="inlineStr">
        <is>
          <t>https://beancount.io/fr/blog/2026/09/25/glamping-business-bookkeeping-nightly-rates-occupancy-payouts-guide</t>
        </is>
      </c>
      <c r="D383" s="25" t="inlineStr">
        <is>
          <t>site commercial (éditeur logiciel)</t>
        </is>
      </c>
      <c r="E383" s="25" t="inlineStr">
        <is>
          <t>2026-10-14</t>
        </is>
      </c>
      <c r="F383" s="25" t="inlineStr">
        <is>
          <t>extrait</t>
        </is>
      </c>
      <c r="G383" s="25" t="inlineStr">
        <is>
          <t>§6 Glamping</t>
        </is>
      </c>
      <c r="H383" s="25" t="inlineStr">
        <is>
          <t>faible</t>
        </is>
      </c>
    </row>
    <row r="384">
      <c r="A384" s="25" t="inlineStr">
        <is>
          <t>R7-62</t>
        </is>
      </c>
      <c r="B384" s="8" t="inlineStr">
        <is>
          <t>Service-Public.gouv.fr - fiche F17665 Permis d'aménager (vérifiée le 13/02/2026)</t>
        </is>
      </c>
      <c r="C384" s="25" t="inlineStr">
        <is>
          <t>https://www.service-public.gouv.fr/particuliers/vosdroits/F17665</t>
        </is>
      </c>
      <c r="D384" s="25" t="inlineStr">
        <is>
          <t>site officiel</t>
        </is>
      </c>
      <c r="E384" s="25" t="inlineStr">
        <is>
          <t>2026-10-14</t>
        </is>
      </c>
      <c r="F384" s="25" t="inlineStr">
        <is>
          <t>page_lue</t>
        </is>
      </c>
      <c r="G384" s="25" t="inlineStr">
        <is>
          <t>§6 Glamping (urbanisme)</t>
        </is>
      </c>
      <c r="H384" s="25" t="inlineStr">
        <is>
          <t>haute</t>
        </is>
      </c>
    </row>
    <row r="385">
      <c r="A385" s="25" t="inlineStr">
        <is>
          <t>R7-63</t>
        </is>
      </c>
      <c r="B385" s="8" t="inlineStr">
        <is>
          <t>API Recherche d'entreprises (data.gouv / DINUM) - données financières publiées (requêtes chateauform, chateau NAF 82.30Z, chateau reception)</t>
        </is>
      </c>
      <c r="C385" s="25" t="inlineStr">
        <is>
          <t>https://recherche-entreprises.api.gouv.fr/search?q=chateau&amp;activite_principale=82.30Z&amp;per_page=25&amp;page=1</t>
        </is>
      </c>
      <c r="D385" s="25" t="inlineStr">
        <is>
          <t>base officielle (API publique)</t>
        </is>
      </c>
      <c r="E385" s="25" t="inlineStr">
        <is>
          <t>2026-10-14</t>
        </is>
      </c>
      <c r="F385" s="25" t="inlineStr">
        <is>
          <t>page_lue</t>
        </is>
      </c>
      <c r="G385" s="25" t="inlineStr">
        <is>
          <t>§1.8 Comptes, §2 Séminaires</t>
        </is>
      </c>
      <c r="H385" s="25" t="inlineStr">
        <is>
          <t>haute</t>
        </is>
      </c>
    </row>
    <row r="386">
      <c r="A386" s="25" t="inlineStr">
        <is>
          <t>R7-64</t>
        </is>
      </c>
      <c r="B386" s="8" t="inlineStr">
        <is>
          <t>BODACC (DILA) - API open data annonces commerciales, procédures collectives 2024-2026 (requêtes « chateau » et activités hôtel/réception/mariage/hôtes/séminaire/hébergement)</t>
        </is>
      </c>
      <c r="C386" s="25" t="inlineStr">
        <is>
          <t>https://bodacc-datadila.opendatasoft.com/api/explore/v2.1/catalog/datasets/annonces-commerciales/records?select=commercant%2Cville%2Ccount(*)%20as%20n&amp;where=search(commercant%2C%22chateau%22)%20and%20familleavis_lib%3D%22Proc%C3%A9dures%20collectives%22%20and%20dateparution%3E%3Ddate%272024-01-01%27&amp;group_by=commercant%2Cville&amp;limit=100</t>
        </is>
      </c>
      <c r="D386" s="25" t="inlineStr">
        <is>
          <t>journal officiel (données ouvertes)</t>
        </is>
      </c>
      <c r="E386" s="25" t="inlineStr">
        <is>
          <t>2026-10-14</t>
        </is>
      </c>
      <c r="F386" s="25" t="inlineStr">
        <is>
          <t>page_lue</t>
        </is>
      </c>
      <c r="G386" s="25" t="inlineStr">
        <is>
          <t>Contre-exemples et échecs</t>
        </is>
      </c>
      <c r="H386" s="25" t="inlineStr">
        <is>
          <t>haute</t>
        </is>
      </c>
    </row>
    <row r="387">
      <c r="A387" s="25" t="inlineStr">
        <is>
          <t>R7-65</t>
        </is>
      </c>
      <c r="B387" s="8" t="inlineStr">
        <is>
          <t>BODACC A n°149 du 7 août 2026 - annonce n°3475 (Laetitia Bataillé Events, liquidation judiciaire, TC Toulon)</t>
        </is>
      </c>
      <c r="C387" s="25" t="inlineStr">
        <is>
          <t>https://www.bodacc.fr/telechargements/COMMERCIALES/PDF/A/2026/20260149/1/BODACC_A_PDF_Unitaire_20260149_03475.pdf</t>
        </is>
      </c>
      <c r="D387" s="25" t="inlineStr">
        <is>
          <t>journal officiel</t>
        </is>
      </c>
      <c r="E387" s="25" t="inlineStr">
        <is>
          <t>2026-10-14</t>
        </is>
      </c>
      <c r="F387" s="25" t="inlineStr">
        <is>
          <t>page_lue</t>
        </is>
      </c>
      <c r="G387" s="25" t="inlineStr">
        <is>
          <t>Contre-exemples et échecs</t>
        </is>
      </c>
      <c r="H387" s="25" t="inlineStr">
        <is>
          <t>haute</t>
        </is>
      </c>
    </row>
    <row r="388">
      <c r="A388" s="25" t="inlineStr">
        <is>
          <t>R7-66</t>
        </is>
      </c>
      <c r="B388" s="8" t="inlineStr">
        <is>
          <t>Doctrine.fr - fiche GROUPE COEUR ET DETENTE (CHATEAU D'YGRANDE) (page d'inscription, non lisible)</t>
        </is>
      </c>
      <c r="C388" s="25" t="inlineStr">
        <is>
          <t>https://www.doctrine.fr/e/ENT4995DA5C55E4022E8C47</t>
        </is>
      </c>
      <c r="D388" s="25" t="inlineStr">
        <is>
          <t>base juridique privée</t>
        </is>
      </c>
      <c r="E388" s="25" t="inlineStr">
        <is>
          <t>2026-10-14</t>
        </is>
      </c>
      <c r="F388" s="25" t="inlineStr">
        <is>
          <t>extrait</t>
        </is>
      </c>
      <c r="G388" s="25" t="inlineStr">
        <is>
          <t>Contre-exemples et échecs</t>
        </is>
      </c>
      <c r="H388" s="25" t="inlineStr">
        <is>
          <t>moyenne</t>
        </is>
      </c>
    </row>
    <row r="389">
      <c r="A389" s="25" t="inlineStr">
        <is>
          <t>R7-67</t>
        </is>
      </c>
      <c r="B389" s="8" t="inlineStr">
        <is>
          <t>Château de Cheverny - Prices &amp; opening hours</t>
        </is>
      </c>
      <c r="C389" s="25" t="inlineStr">
        <is>
          <t>https://www.chateau-cheverny.fr/en/practical-information/prices-opening-hours</t>
        </is>
      </c>
      <c r="D389" s="25" t="inlineStr">
        <is>
          <t>site du domaine</t>
        </is>
      </c>
      <c r="E389" s="25" t="inlineStr">
        <is>
          <t>2026-10-14</t>
        </is>
      </c>
      <c r="F389" s="25" t="inlineStr">
        <is>
          <t>page_lue</t>
        </is>
      </c>
      <c r="G389" s="25" t="inlineStr">
        <is>
          <t>§7.2 Visites</t>
        </is>
      </c>
      <c r="H389" s="25" t="inlineStr">
        <is>
          <t>haute</t>
        </is>
      </c>
    </row>
    <row r="390">
      <c r="A390" s="25" t="inlineStr">
        <is>
          <t>R7-68</t>
        </is>
      </c>
      <c r="B390" s="8" t="inlineStr">
        <is>
          <t>Château de Cheverny - Room rentals</t>
        </is>
      </c>
      <c r="C390" s="25" t="inlineStr">
        <is>
          <t>https://www.chateau-cheverny.fr/en/room-rentals</t>
        </is>
      </c>
      <c r="D390" s="25" t="inlineStr">
        <is>
          <t>site du domaine</t>
        </is>
      </c>
      <c r="E390" s="25" t="inlineStr">
        <is>
          <t>2026-10-14</t>
        </is>
      </c>
      <c r="F390" s="25" t="inlineStr">
        <is>
          <t>page_lue</t>
        </is>
      </c>
      <c r="G390" s="25" t="inlineStr">
        <is>
          <t>§7.2 Visites, §2 Séminaires</t>
        </is>
      </c>
      <c r="H390" s="25" t="inlineStr">
        <is>
          <t>haute</t>
        </is>
      </c>
    </row>
    <row r="391">
      <c r="A391" s="25" t="inlineStr">
        <is>
          <t>R7-69</t>
        </is>
      </c>
      <c r="B391" s="8" t="inlineStr">
        <is>
          <t>Château de Breteuil - Horaires, tarifs, accès</t>
        </is>
      </c>
      <c r="C391" s="25" t="inlineStr">
        <is>
          <t>https://www.breteuil.fr/fr/horaires-tarifs-acces-chateau-breteuil/</t>
        </is>
      </c>
      <c r="D391" s="25" t="inlineStr">
        <is>
          <t>site du domaine</t>
        </is>
      </c>
      <c r="E391" s="25" t="inlineStr">
        <is>
          <t>2026-10-14</t>
        </is>
      </c>
      <c r="F391" s="25" t="inlineStr">
        <is>
          <t>page_lue</t>
        </is>
      </c>
      <c r="G391" s="25" t="inlineStr">
        <is>
          <t>§7.2 Visites</t>
        </is>
      </c>
      <c r="H391" s="25" t="inlineStr">
        <is>
          <t>haute</t>
        </is>
      </c>
    </row>
    <row r="392">
      <c r="A392" s="25" t="inlineStr">
        <is>
          <t>R7-70</t>
        </is>
      </c>
      <c r="B392" s="8" t="inlineStr">
        <is>
          <t>Château de Breteuil - Privatisation château et orangerie (tarifs sur demande)</t>
        </is>
      </c>
      <c r="C392" s="25" t="inlineStr">
        <is>
          <t>https://www.breteuil.fr/fr/privatisation-chateau-orangerie-breteuil/</t>
        </is>
      </c>
      <c r="D392" s="25" t="inlineStr">
        <is>
          <t>site du domaine</t>
        </is>
      </c>
      <c r="E392" s="25" t="inlineStr">
        <is>
          <t>2026-10-14</t>
        </is>
      </c>
      <c r="F392" s="25" t="inlineStr">
        <is>
          <t>page_lue</t>
        </is>
      </c>
      <c r="G392" s="25" t="inlineStr">
        <is>
          <t>§7.2 Visites</t>
        </is>
      </c>
      <c r="H392" s="25" t="inlineStr">
        <is>
          <t>haute</t>
        </is>
      </c>
    </row>
    <row r="393">
      <c r="A393" s="25" t="inlineStr">
        <is>
          <t>R7-71</t>
        </is>
      </c>
      <c r="B393" s="8" t="inlineStr">
        <is>
          <t>Paris Zigzag - Ce château privé à 45 min de Paris ouvre exceptionnellement au public (Ormesson)</t>
        </is>
      </c>
      <c r="C393" s="25" t="inlineStr">
        <is>
          <t>https://www.pariszigzag.fr/paris-au-quotidien/chateau-ormesson-ouverture/</t>
        </is>
      </c>
      <c r="D393" s="25" t="inlineStr">
        <is>
          <t>presse en ligne</t>
        </is>
      </c>
      <c r="E393" s="25" t="inlineStr">
        <is>
          <t>2026-10-14</t>
        </is>
      </c>
      <c r="F393" s="25" t="inlineStr">
        <is>
          <t>extrait</t>
        </is>
      </c>
      <c r="G393" s="25" t="inlineStr">
        <is>
          <t>§7.2 Visites</t>
        </is>
      </c>
      <c r="H393" s="25" t="inlineStr">
        <is>
          <t>faible</t>
        </is>
      </c>
    </row>
    <row r="394">
      <c r="A394" s="25" t="inlineStr">
        <is>
          <t>R7-72</t>
        </is>
      </c>
      <c r="B394" s="8" t="inlineStr">
        <is>
          <t>Restaurants-de-France - fiche Château de Sarzay (avis)</t>
        </is>
      </c>
      <c r="C394" s="25" t="inlineStr">
        <is>
          <t>https://restaurants-de-france.fr/hotel/fr-fr/fiche/chateau-de-sarzay-96114.html</t>
        </is>
      </c>
      <c r="D394" s="25" t="inlineStr">
        <is>
          <t>annuaire en ligne</t>
        </is>
      </c>
      <c r="E394" s="25" t="inlineStr">
        <is>
          <t>2026-10-14</t>
        </is>
      </c>
      <c r="F394" s="25" t="inlineStr">
        <is>
          <t>extrait</t>
        </is>
      </c>
      <c r="G394" s="25" t="inlineStr">
        <is>
          <t>§7.2 Visites</t>
        </is>
      </c>
      <c r="H394" s="25" t="inlineStr">
        <is>
          <t>faible</t>
        </is>
      </c>
    </row>
    <row r="395">
      <c r="A395" s="25" t="inlineStr">
        <is>
          <t>R7-73</t>
        </is>
      </c>
      <c r="B395" s="8" t="inlineStr">
        <is>
          <t>Château de Cheverny - Presentation of the estate</t>
        </is>
      </c>
      <c r="C395" s="25" t="inlineStr">
        <is>
          <t>https://www.chateau-cheverny.fr/en/presentation-du-domaine</t>
        </is>
      </c>
      <c r="D395" s="25" t="inlineStr">
        <is>
          <t>site du domaine</t>
        </is>
      </c>
      <c r="E395" s="25" t="inlineStr">
        <is>
          <t>2026-10-14</t>
        </is>
      </c>
      <c r="F395" s="25" t="inlineStr">
        <is>
          <t>page_lue</t>
        </is>
      </c>
      <c r="G395" s="25" t="inlineStr">
        <is>
          <t>§7.2 Visites</t>
        </is>
      </c>
      <c r="H395" s="25" t="inlineStr">
        <is>
          <t>haute</t>
        </is>
      </c>
    </row>
    <row r="396">
      <c r="A396" s="25" t="inlineStr">
        <is>
          <t>R7-74</t>
        </is>
      </c>
      <c r="B396" s="8" t="inlineStr">
        <is>
          <t>TourMaG - Séminaires : l'Europe du Sud dans le viseur de Châteauform' (23/03/2022)</t>
        </is>
      </c>
      <c r="C396" s="25" t="inlineStr">
        <is>
          <t>https://www.tourmag.com/Seminaires-l-Europe-du-Sud-dans-le-viseur-de-Chateauform_a113108.html</t>
        </is>
      </c>
      <c r="D396" s="25" t="inlineStr">
        <is>
          <t>presse professionnelle</t>
        </is>
      </c>
      <c r="E396" s="25" t="inlineStr">
        <is>
          <t>2026-10-14</t>
        </is>
      </c>
      <c r="F396" s="25" t="inlineStr">
        <is>
          <t>page_lue</t>
        </is>
      </c>
      <c r="G396" s="25" t="inlineStr">
        <is>
          <t>§2 Séminaires</t>
        </is>
      </c>
      <c r="H396" s="25" t="inlineStr">
        <is>
          <t>moyenne</t>
        </is>
      </c>
    </row>
    <row r="397">
      <c r="A397" s="25" t="inlineStr">
        <is>
          <t>R8-01</t>
        </is>
      </c>
      <c r="B397" s="8" t="inlineStr">
        <is>
          <t>Louer son terrain pour des panneaux solaires : comment cela fonctionne ? (les-energies-renouvelables.eu, mis à jour le 8 janvier 2026)</t>
        </is>
      </c>
      <c r="C397" s="25" t="inlineStr">
        <is>
          <t>https://www.les-energies-renouvelables.eu/conseils/panneaux-solaires-pour-entreprise-professionnels/louer-son-terrain-pour-des-panneaux-solaires-comment-cela-fonctionne/</t>
        </is>
      </c>
      <c r="D397" s="25" t="inlineStr">
        <is>
          <t>site commercial / conseil</t>
        </is>
      </c>
      <c r="E397" s="25" t="inlineStr">
        <is>
          <t>2026-10-14</t>
        </is>
      </c>
      <c r="F397" s="25" t="inlineStr">
        <is>
          <t>page_lue</t>
        </is>
      </c>
      <c r="G397" s="25" t="inlineStr">
        <is>
          <t>R8 §1.1 loyers PV au sol</t>
        </is>
      </c>
      <c r="H397" s="25" t="inlineStr">
        <is>
          <t>faible</t>
        </is>
      </c>
    </row>
    <row r="398">
      <c r="A398" s="25" t="inlineStr">
        <is>
          <t>R8-02</t>
        </is>
      </c>
      <c r="B398" s="8" t="inlineStr">
        <is>
          <t>Des surfaces additionnelles grâce à l'agrivoltaïsme (Réussir Pâtre, 8 février 2021)</t>
        </is>
      </c>
      <c r="C398" s="25" t="inlineStr">
        <is>
          <t>https://www.reussir.fr/patre/des-surfaces-additionnelles-grace-lagrivoltaisme</t>
        </is>
      </c>
      <c r="D398" s="25" t="inlineStr">
        <is>
          <t>presse agricole spécialisée</t>
        </is>
      </c>
      <c r="E398" s="25" t="inlineStr">
        <is>
          <t>2026-10-14</t>
        </is>
      </c>
      <c r="F398" s="25" t="inlineStr">
        <is>
          <t>page_lue</t>
        </is>
      </c>
      <c r="G398" s="25" t="inlineStr">
        <is>
          <t>R8 §1.2 pâturage ovin sous panneaux</t>
        </is>
      </c>
      <c r="H398" s="25" t="inlineStr">
        <is>
          <t>moyenne</t>
        </is>
      </c>
    </row>
    <row r="399">
      <c r="A399" s="25" t="inlineStr">
        <is>
          <t>R8-03</t>
        </is>
      </c>
      <c r="B399" s="8" t="inlineStr">
        <is>
          <t>Agrivoltaïsme (Wikipédia, version consultée le 2026-10-14)</t>
        </is>
      </c>
      <c r="C399" s="25" t="inlineStr">
        <is>
          <t>https://fr.wikipedia.org/wiki/Agrivolta%C3%AFsme</t>
        </is>
      </c>
      <c r="D399" s="25" t="inlineStr">
        <is>
          <t>encyclopédie collaborative</t>
        </is>
      </c>
      <c r="E399" s="25" t="inlineStr">
        <is>
          <t>2026-10-14</t>
        </is>
      </c>
      <c r="F399" s="25" t="inlineStr">
        <is>
          <t>page_lue</t>
        </is>
      </c>
      <c r="G399" s="25" t="inlineStr">
        <is>
          <t>R8 §1.2 cadre loi APER / décret 2024-318</t>
        </is>
      </c>
      <c r="H399" s="25" t="inlineStr">
        <is>
          <t>moyenne</t>
        </is>
      </c>
    </row>
    <row r="400">
      <c r="A400" s="25" t="inlineStr">
        <is>
          <t>R8-04</t>
        </is>
      </c>
      <c r="B400" s="8" t="inlineStr">
        <is>
          <t>Forêt française : l'État chiffre la dégradation, le foncier bat des records (France Épargne, 16 septembre 2026)</t>
        </is>
      </c>
      <c r="C400" s="25" t="inlineStr">
        <is>
          <t>https://www.france-epargne.fr/news/foret-francaise-letat-chiffre-la-degradation-le-foncier-bat-des-records</t>
        </is>
      </c>
      <c r="D400" s="25" t="inlineStr">
        <is>
          <t>presse économique (reprend Safer / Société Forestière / France Bois Forêt / DG Trésor)</t>
        </is>
      </c>
      <c r="E400" s="25" t="inlineStr">
        <is>
          <t>2026-10-14</t>
        </is>
      </c>
      <c r="F400" s="25" t="inlineStr">
        <is>
          <t>page_lue</t>
        </is>
      </c>
      <c r="G400" s="25" t="inlineStr">
        <is>
          <t>R8 §1.5 forêt prix 2025</t>
        </is>
      </c>
      <c r="H400" s="25" t="inlineStr">
        <is>
          <t>moyenne</t>
        </is>
      </c>
    </row>
    <row r="401">
      <c r="A401" s="25" t="inlineStr">
        <is>
          <t>R8-05</t>
        </is>
      </c>
      <c r="B401" s="8" t="inlineStr">
        <is>
          <t>Prix des bois sur pied en forêt privée : un recul de 4 % en 2025 (France Bois Forêt, communiqué du 26 mai 2026, PDF)</t>
        </is>
      </c>
      <c r="C401" s="25" t="inlineStr">
        <is>
          <t>https://franceboisforet.fr/wp-content/uploads/2026/05/CP_PlaquettePrixDesBois_v4.pdf</t>
        </is>
      </c>
      <c r="D401" s="25" t="inlineStr">
        <is>
          <t>interprofession (observatoire économique)</t>
        </is>
      </c>
      <c r="E401" s="25" t="inlineStr">
        <is>
          <t>2026-10-14</t>
        </is>
      </c>
      <c r="F401" s="25" t="inlineStr">
        <is>
          <t>page_lue</t>
        </is>
      </c>
      <c r="G401" s="25" t="inlineStr">
        <is>
          <t>R8 §1.5 forêt prix bois sur pied</t>
        </is>
      </c>
      <c r="H401" s="25" t="inlineStr">
        <is>
          <t>haute</t>
        </is>
      </c>
    </row>
    <row r="402">
      <c r="A402" s="25" t="inlineStr">
        <is>
          <t>R8-06</t>
        </is>
      </c>
      <c r="B402" s="8" t="inlineStr">
        <is>
          <t>Le marché des forêts en France — Indicateur 2020 (Safer / Société Forestière, PDF 64 p.)</t>
        </is>
      </c>
      <c r="C402" s="25" t="inlineStr">
        <is>
          <t>https://www.ofme.org/documents/actualite/202202/2020_Indicateur_marche_forets_SAFER.pdf</t>
        </is>
      </c>
      <c r="D402" s="25" t="inlineStr">
        <is>
          <t>étude de marché institutionnelle</t>
        </is>
      </c>
      <c r="E402" s="25" t="inlineStr">
        <is>
          <t>2026-10-14</t>
        </is>
      </c>
      <c r="F402" s="25" t="inlineStr">
        <is>
          <t>page_lue</t>
        </is>
      </c>
      <c r="G402" s="25" t="inlineStr">
        <is>
          <t>R8 §1.5 (constat : aucun chiffre de rendement dans l'indicateur)</t>
        </is>
      </c>
      <c r="H402" s="25" t="inlineStr">
        <is>
          <t>haute</t>
        </is>
      </c>
    </row>
    <row r="403">
      <c r="A403" s="25" t="inlineStr">
        <is>
          <t>R8-07</t>
        </is>
      </c>
      <c r="B403" s="8" t="inlineStr">
        <is>
          <t>Adjudications de chasse en forêt domaniale (ONF)</t>
        </is>
      </c>
      <c r="C403" s="25" t="inlineStr">
        <is>
          <t>https://www.onf.fr/chasse/adjudications-de-chasse</t>
        </is>
      </c>
      <c r="D403" s="25" t="inlineStr">
        <is>
          <t>établissement public (ONF)</t>
        </is>
      </c>
      <c r="E403" s="25" t="inlineStr">
        <is>
          <t>2026-10-14</t>
        </is>
      </c>
      <c r="F403" s="25" t="inlineStr">
        <is>
          <t>page_lue</t>
        </is>
      </c>
      <c r="G403" s="25" t="inlineStr">
        <is>
          <t>R8 §1.6 chasse (aucun prix publié)</t>
        </is>
      </c>
      <c r="H403" s="25" t="inlineStr">
        <is>
          <t>haute</t>
        </is>
      </c>
    </row>
    <row r="404">
      <c r="A404" s="25" t="inlineStr">
        <is>
          <t>R8-08</t>
        </is>
      </c>
      <c r="B404" s="8" t="inlineStr">
        <is>
          <t>Et si la truffe trouvait une place sur votre exploitation ? (Terre-net, Sophie Guyomard, 2 octobre 2026)</t>
        </is>
      </c>
      <c r="C404" s="25" t="inlineStr">
        <is>
          <t>https://www.terre-net.fr/productions-vegetales/article/904311/et-si-la-truffe-trouvait-une-place-sur-votre-exploitation</t>
        </is>
      </c>
      <c r="D404" s="25" t="inlineStr">
        <is>
          <t>presse agricole spécialisée (reprend chambre d'agriculture de la Somme / Agri-Truffe)</t>
        </is>
      </c>
      <c r="E404" s="25" t="inlineStr">
        <is>
          <t>2026-10-14</t>
        </is>
      </c>
      <c r="F404" s="25" t="inlineStr">
        <is>
          <t>page_lue</t>
        </is>
      </c>
      <c r="G404" s="25" t="inlineStr">
        <is>
          <t>R8 §1.8 truffières</t>
        </is>
      </c>
      <c r="H404" s="25" t="inlineStr">
        <is>
          <t>moyenne</t>
        </is>
      </c>
    </row>
    <row r="405">
      <c r="A405" s="25" t="inlineStr">
        <is>
          <t>R8-09</t>
        </is>
      </c>
      <c r="B405" s="8" t="inlineStr">
        <is>
          <t>Enquête truffe : le véritable prix de l'or noir (UFC-Que Choisir, 18 décembre 2024)</t>
        </is>
      </c>
      <c r="C405" s="25" t="inlineStr">
        <is>
          <t>https://www.quechoisir.org/enquete-truffe-le-veritable-prix-de-l-or-noir-n147866/</t>
        </is>
      </c>
      <c r="D405" s="25" t="inlineStr">
        <is>
          <t>presse consommateurs</t>
        </is>
      </c>
      <c r="E405" s="25" t="inlineStr">
        <is>
          <t>2026-10-14</t>
        </is>
      </c>
      <c r="F405" s="25" t="inlineStr">
        <is>
          <t>page_lue</t>
        </is>
      </c>
      <c r="G405" s="25" t="inlineStr">
        <is>
          <t>R8 §1.8 truffières (variabilité des rendements)</t>
        </is>
      </c>
      <c r="H405" s="25" t="inlineStr">
        <is>
          <t>moyenne</t>
        </is>
      </c>
    </row>
    <row r="406">
      <c r="A406" s="25" t="inlineStr">
        <is>
          <t>R8-10</t>
        </is>
      </c>
      <c r="B406" s="8" t="inlineStr">
        <is>
          <t>Délibération CRE n° 2026-58 du 5 mars 2026 portant avis sur un projet d'arrêté modifiant l'arrêté H16 (PDF 9 p.)</t>
        </is>
      </c>
      <c r="C406" s="25" t="inlineStr">
        <is>
          <t>https://www.cre.fr/fileadmin/Documents/Deliberations/2026/260305_2026-58_avis_H16.pdf</t>
        </is>
      </c>
      <c r="D406" s="25" t="inlineStr">
        <is>
          <t>autorité de régulation (CRE)</t>
        </is>
      </c>
      <c r="E406" s="25" t="inlineStr">
        <is>
          <t>2026-10-14</t>
        </is>
      </c>
      <c r="F406" s="25" t="inlineStr">
        <is>
          <t>page_lue</t>
        </is>
      </c>
      <c r="G406" s="25" t="inlineStr">
        <is>
          <t>R8 §1.4 petite hydroélectricité (seuils OA/CR, plafonds d'heures)</t>
        </is>
      </c>
      <c r="H406" s="25" t="inlineStr">
        <is>
          <t>haute</t>
        </is>
      </c>
    </row>
    <row r="407">
      <c r="A407" s="25" t="inlineStr">
        <is>
          <t>R8-11</t>
        </is>
      </c>
      <c r="B407" s="8" t="inlineStr">
        <is>
          <t>Question écrite n° 8832 (16e législature) « Production électrique générée par les moulins à eau », réponse publiée au JO le 12 décembre 2023 (PDF)</t>
        </is>
      </c>
      <c r="C407" s="25" t="inlineStr">
        <is>
          <t>https://www.assemblee-nationale.fr/dyn/16/questions/QANR5L16QE8832.pdf</t>
        </is>
      </c>
      <c r="D407" s="25" t="inlineStr">
        <is>
          <t>réponse ministérielle (Assemblée nationale)</t>
        </is>
      </c>
      <c r="E407" s="25" t="inlineStr">
        <is>
          <t>2026-10-14</t>
        </is>
      </c>
      <c r="F407" s="25" t="inlineStr">
        <is>
          <t>page_lue</t>
        </is>
      </c>
      <c r="G407" s="25" t="inlineStr">
        <is>
          <t>R8 §1.4 tarif H16 ≈ 170 €/MWh pour ≈ 100 kW</t>
        </is>
      </c>
      <c r="H407" s="25" t="inlineStr">
        <is>
          <t>haute</t>
        </is>
      </c>
    </row>
    <row r="408">
      <c r="A408" s="25" t="inlineStr">
        <is>
          <t>R8-12</t>
        </is>
      </c>
      <c r="B408" s="8" t="inlineStr">
        <is>
          <t>CRE, Coûts et rentabilités de la petite hydroélectricité en métropole continentale, rapport du 30 janvier 2020 (PDF 37 p.)</t>
        </is>
      </c>
      <c r="C408" s="25" t="inlineStr">
        <is>
          <t>https://cre.fr/content/download/21963/278862</t>
        </is>
      </c>
      <c r="D408" s="25" t="inlineStr">
        <is>
          <t>rapport d'audit de la CRE</t>
        </is>
      </c>
      <c r="E408" s="25" t="inlineStr">
        <is>
          <t>2026-10-14</t>
        </is>
      </c>
      <c r="F408" s="25" t="inlineStr">
        <is>
          <t>page_lue</t>
        </is>
      </c>
      <c r="G408" s="25" t="inlineStr">
        <is>
          <t>R8 §1.4 coûts, productible, TRI de la petite hydro</t>
        </is>
      </c>
      <c r="H408" s="25" t="inlineStr">
        <is>
          <t>haute</t>
        </is>
      </c>
    </row>
    <row r="409">
      <c r="A409" s="25" t="inlineStr">
        <is>
          <t>R8-13</t>
        </is>
      </c>
      <c r="B409" s="8" t="inlineStr">
        <is>
          <t>Label bas-carbone — page d'accueil (chiffres clés) (ministère de la Transition écologique)</t>
        </is>
      </c>
      <c r="C409" s="25" t="inlineStr">
        <is>
          <t>https://label-bas-carbone.ecologie.gouv.fr/</t>
        </is>
      </c>
      <c r="D409" s="25" t="inlineStr">
        <is>
          <t>site officiel du label</t>
        </is>
      </c>
      <c r="E409" s="25" t="inlineStr">
        <is>
          <t>2026-10-14</t>
        </is>
      </c>
      <c r="F409" s="25" t="inlineStr">
        <is>
          <t>page_lue</t>
        </is>
      </c>
      <c r="G409" s="25" t="inlineStr">
        <is>
          <t>R8 §1.7 crédits carbone (volumes du label)</t>
        </is>
      </c>
      <c r="H409" s="25" t="inlineStr">
        <is>
          <t>haute</t>
        </is>
      </c>
    </row>
    <row r="410">
      <c r="A410" s="25" t="inlineStr">
        <is>
          <t>R8-14</t>
        </is>
      </c>
      <c r="B410" s="8" t="inlineStr">
        <is>
          <t>Label bas carbone : le bilan après 6 ans d'existence (Terre-net, Amélie Bachelet, 25 août 2025, d'après I4CE juin 2025)</t>
        </is>
      </c>
      <c r="C410" s="25" t="inlineStr">
        <is>
          <t>https://www.terre-net.fr/changement-climatique/article/886550/label-bas-carbone-le-bilan-apres-6-ans-d-existence</t>
        </is>
      </c>
      <c r="D410" s="25" t="inlineStr">
        <is>
          <t>presse agricole (reprend une étude I4CE)</t>
        </is>
      </c>
      <c r="E410" s="25" t="inlineStr">
        <is>
          <t>2026-10-14</t>
        </is>
      </c>
      <c r="F410" s="25" t="inlineStr">
        <is>
          <t>page_lue</t>
        </is>
      </c>
      <c r="G410" s="25" t="inlineStr">
        <is>
          <t>R8 §1.7 prix moyen 35 €/t</t>
        </is>
      </c>
      <c r="H410" s="25" t="inlineStr">
        <is>
          <t>moyenne</t>
        </is>
      </c>
    </row>
    <row r="411">
      <c r="A411" s="25" t="inlineStr">
        <is>
          <t>R8-15</t>
        </is>
      </c>
      <c r="B411" s="8" t="inlineStr">
        <is>
          <t>Label bas-carbone — La méthode Boisement (V3 du 6 septembre 2025)</t>
        </is>
      </c>
      <c r="C411" s="25" t="inlineStr">
        <is>
          <t>https://label-bas-carbone.ecologie.gouv.fr/la-methode-boisement</t>
        </is>
      </c>
      <c r="D411" s="25" t="inlineStr">
        <is>
          <t>site officiel du label</t>
        </is>
      </c>
      <c r="E411" s="25" t="inlineStr">
        <is>
          <t>2026-10-14</t>
        </is>
      </c>
      <c r="F411" s="25" t="inlineStr">
        <is>
          <t>page_lue</t>
        </is>
      </c>
      <c r="G411" s="25" t="inlineStr">
        <is>
          <t>R8 §1.7 conditions de la méthode boisement</t>
        </is>
      </c>
      <c r="H411" s="25" t="inlineStr">
        <is>
          <t>haute</t>
        </is>
      </c>
    </row>
    <row r="412">
      <c r="A412" s="25" t="inlineStr">
        <is>
          <t>R8-16</t>
        </is>
      </c>
      <c r="B412" s="8" t="inlineStr">
        <is>
          <t>Label bas-carbone — liste des projets labellisés (projets individuels)</t>
        </is>
      </c>
      <c r="C412" s="25" t="inlineStr">
        <is>
          <t>https://label-bas-carbone.ecologie.gouv.fr/liste-projets-labellises?taxonomies_entity_list_filter_field_project_type_tref%5B2%5D=2</t>
        </is>
      </c>
      <c r="D412" s="25" t="inlineStr">
        <is>
          <t>site officiel du label (registre)</t>
        </is>
      </c>
      <c r="E412" s="25" t="inlineStr">
        <is>
          <t>2026-10-14</t>
        </is>
      </c>
      <c r="F412" s="25" t="inlineStr">
        <is>
          <t>page_lue</t>
        </is>
      </c>
      <c r="G412" s="25" t="inlineStr">
        <is>
          <t>R8 §1.7 crédits par hectare observés</t>
        </is>
      </c>
      <c r="H412" s="25" t="inlineStr">
        <is>
          <t>haute</t>
        </is>
      </c>
    </row>
    <row r="413">
      <c r="A413" s="25" t="inlineStr">
        <is>
          <t>R8-17</t>
        </is>
      </c>
      <c r="B413" s="8" t="inlineStr">
        <is>
          <t>Prix du gardiennage d'un camping-car : tarifs et options (Wikicampers, 30 novembre 2025)</t>
        </is>
      </c>
      <c r="C413" s="25" t="inlineStr">
        <is>
          <t>https://www.wikicampers.fr/blog/combien-coute-le-gardiennage-dun-camping-car/</t>
        </is>
      </c>
      <c r="D413" s="25" t="inlineStr">
        <is>
          <t>blog commercial (plateforme de location)</t>
        </is>
      </c>
      <c r="E413" s="25" t="inlineStr">
        <is>
          <t>2026-10-14</t>
        </is>
      </c>
      <c r="F413" s="25" t="inlineStr">
        <is>
          <t>page_lue</t>
        </is>
      </c>
      <c r="G413" s="25" t="inlineStr">
        <is>
          <t>R8 §2.2 hivernage camping-cars</t>
        </is>
      </c>
      <c r="H413" s="25" t="inlineStr">
        <is>
          <t>moyenne</t>
        </is>
      </c>
    </row>
    <row r="414">
      <c r="A414" s="25" t="inlineStr">
        <is>
          <t>R8-18</t>
        </is>
      </c>
      <c r="B414" s="8" t="inlineStr">
        <is>
          <t>Hôtels pour voitures de collection (Forbes Belgique, Philippe Coulée, 16 août 2026)</t>
        </is>
      </c>
      <c r="C414" s="25" t="inlineStr">
        <is>
          <t>https://www.forbes.be/fr/hotels-pour-voitures-de-collection/</t>
        </is>
      </c>
      <c r="D414" s="25" t="inlineStr">
        <is>
          <t>presse économique</t>
        </is>
      </c>
      <c r="E414" s="25" t="inlineStr">
        <is>
          <t>2026-10-14</t>
        </is>
      </c>
      <c r="F414" s="25" t="inlineStr">
        <is>
          <t>page_lue</t>
        </is>
      </c>
      <c r="G414" s="25" t="inlineStr">
        <is>
          <t>R8 §2.1 gardiennage de voitures de collection</t>
        </is>
      </c>
      <c r="H414" s="25" t="inlineStr">
        <is>
          <t>moyenne</t>
        </is>
      </c>
    </row>
    <row r="415">
      <c r="A415" s="25" t="inlineStr">
        <is>
          <t>R8-19</t>
        </is>
      </c>
      <c r="B415" s="8" t="inlineStr">
        <is>
          <t>Comparis.ch — annonce de gardiennage de voitures de collection à Saint-Sulpice (VD) (vu dans les résultats de recherche)</t>
        </is>
      </c>
      <c r="C415" s="25" t="inlineStr">
        <is>
          <t>https://www.comparis.ch/immobilien/marktplatz/details/show/33471271</t>
        </is>
      </c>
      <c r="D415" s="25" t="inlineStr">
        <is>
          <t>annonce immobilière (Suisse)</t>
        </is>
      </c>
      <c r="E415" s="25" t="inlineStr">
        <is>
          <t>2026-10-14</t>
        </is>
      </c>
      <c r="F415" s="25" t="inlineStr">
        <is>
          <t>extrait</t>
        </is>
      </c>
      <c r="G415" s="25" t="inlineStr">
        <is>
          <t>R8 §2.1 gardiennage CHF 250/mois</t>
        </is>
      </c>
      <c r="H415" s="25" t="inlineStr">
        <is>
          <t>faible</t>
        </is>
      </c>
    </row>
    <row r="416">
      <c r="A416" s="25" t="inlineStr">
        <is>
          <t>R8-20</t>
        </is>
      </c>
      <c r="B416" s="8" t="inlineStr">
        <is>
          <t>Les Chais de France : stockage de vin pour les particuliers à Paris en cave individuelle (La Passion du Vin, messages de l'entreprise des 6 février et 18 septembre 2020)</t>
        </is>
      </c>
      <c r="C416" s="25" t="inlineStr">
        <is>
          <t>https://www.lapassionduvin.com/vitrine-des-cavistes/49356-les-chais-de-france-stockage-de-vin-pour-les-particuliers-a-paris-en-cave-individuelle</t>
        </is>
      </c>
      <c r="D416" s="25" t="inlineStr">
        <is>
          <t>forum spécialisé (message publié par l'entreprise)</t>
        </is>
      </c>
      <c r="E416" s="25" t="inlineStr">
        <is>
          <t>2026-10-14</t>
        </is>
      </c>
      <c r="F416" s="25" t="inlineStr">
        <is>
          <t>page_lue</t>
        </is>
      </c>
      <c r="G416" s="25" t="inlineStr">
        <is>
          <t>R8 §2.3 stockage de vins</t>
        </is>
      </c>
      <c r="H416" s="25" t="inlineStr">
        <is>
          <t>faible</t>
        </is>
      </c>
    </row>
    <row r="417">
      <c r="A417" s="25" t="inlineStr">
        <is>
          <t>R8-21</t>
        </is>
      </c>
      <c r="B417" s="8" t="inlineStr">
        <is>
          <t>Nouveau : iDealwine lance sa cave de stockage idéale (iDealwine, 2 mars 2022, modifié le 3 octobre 2025)</t>
        </is>
      </c>
      <c r="C417" s="25" t="inlineStr">
        <is>
          <t>https://www.idealwine.net/nouveau-idealwine-lance-sa-cave-de-stockage-ideale/</t>
        </is>
      </c>
      <c r="D417" s="25" t="inlineStr">
        <is>
          <t>site commercial</t>
        </is>
      </c>
      <c r="E417" s="25" t="inlineStr">
        <is>
          <t>2026-10-14</t>
        </is>
      </c>
      <c r="F417" s="25" t="inlineStr">
        <is>
          <t>page_lue</t>
        </is>
      </c>
      <c r="G417" s="25" t="inlineStr">
        <is>
          <t>R8 §2.3 conditions techniques de stockage de vin</t>
        </is>
      </c>
      <c r="H417" s="25" t="inlineStr">
        <is>
          <t>moyenne</t>
        </is>
      </c>
    </row>
    <row r="418">
      <c r="A418" s="25" t="inlineStr">
        <is>
          <t>R8-22</t>
        </is>
      </c>
      <c r="B418" s="8" t="inlineStr">
        <is>
          <t>Carte des loyers — Indicateurs de loyers d'annonce par commune en 2025 (ministère de la Transition écologique / ANIL, data.gouv.fr, mise à jour du 11 décembre 2025)</t>
        </is>
      </c>
      <c r="C418" s="25" t="inlineStr">
        <is>
          <t>https://www.data.gouv.fr/fr/datasets/carte-des-loyers-indicateurs-de-loyers-dannonce-par-commune-en-2025/</t>
        </is>
      </c>
      <c r="D418" s="25" t="inlineStr">
        <is>
          <t>données publiques officielles</t>
        </is>
      </c>
      <c r="E418" s="25" t="inlineStr">
        <is>
          <t>2026-10-14</t>
        </is>
      </c>
      <c r="F418" s="25" t="inlineStr">
        <is>
          <t>page_lue</t>
        </is>
      </c>
      <c r="G418" s="25" t="inlineStr">
        <is>
          <t>R8 §3.1 loyers résidentiels ruraux (méthode)</t>
        </is>
      </c>
      <c r="H418" s="25" t="inlineStr">
        <is>
          <t>haute</t>
        </is>
      </c>
    </row>
    <row r="419">
      <c r="A419" s="25" t="inlineStr">
        <is>
          <t>R8-23</t>
        </is>
      </c>
      <c r="B419" s="8" t="inlineStr">
        <is>
          <t>Carte des loyers 2025 — fichier maisons pred-mai-mef-dhup.csv (40 premières lignes lues)</t>
        </is>
      </c>
      <c r="C419" s="25" t="inlineStr">
        <is>
          <t>https://static.data.gouv.fr/resources/carte-des-loyers-indicateurs-de-loyers-dannonce-par-commune-en-2025/20251211-145039/pred-mai-mef-dhup.csv</t>
        </is>
      </c>
      <c r="D419" s="25" t="inlineStr">
        <is>
          <t>données publiques officielles (CSV)</t>
        </is>
      </c>
      <c r="E419" s="25" t="inlineStr">
        <is>
          <t>2026-10-14</t>
        </is>
      </c>
      <c r="F419" s="25" t="inlineStr">
        <is>
          <t>page_lue</t>
        </is>
      </c>
      <c r="G419" s="25" t="inlineStr">
        <is>
          <t>R8 §3.1 loyers de maisons en communes rurales</t>
        </is>
      </c>
      <c r="H419" s="25" t="inlineStr">
        <is>
          <t>haute</t>
        </is>
      </c>
    </row>
    <row r="420">
      <c r="A420" s="25" t="inlineStr">
        <is>
          <t>R8-24</t>
        </is>
      </c>
      <c r="B420" s="8" t="inlineStr">
        <is>
          <t>CAUE 74, Références 2025 — Réhabilitation ancienne ferme, Le Biot (PDF)</t>
        </is>
      </c>
      <c r="C420" s="25" t="inlineStr">
        <is>
          <t>https://references.caue74.fr/wp-content/uploads/2025/03/REFERENCES_2025_WEB_BIOT.pdf</t>
        </is>
      </c>
      <c r="D420" s="25" t="inlineStr">
        <is>
          <t>organisme public de conseil (CAUE), fiche de réalisation</t>
        </is>
      </c>
      <c r="E420" s="25" t="inlineStr">
        <is>
          <t>2026-10-14</t>
        </is>
      </c>
      <c r="F420" s="25" t="inlineStr">
        <is>
          <t>page_lue</t>
        </is>
      </c>
      <c r="G420" s="25" t="inlineStr">
        <is>
          <t>R8 §3.2 coût de transformation d'une grange en logement</t>
        </is>
      </c>
      <c r="H420" s="25" t="inlineStr">
        <is>
          <t>haute</t>
        </is>
      </c>
    </row>
    <row r="421">
      <c r="A421" s="25" t="inlineStr">
        <is>
          <t>R8-25</t>
        </is>
      </c>
      <c r="B421" s="8" t="inlineStr">
        <is>
          <t>Réhabiliter une grange (Habitatpresto, vu dans les résultats de recherche)</t>
        </is>
      </c>
      <c r="C421" s="25" t="inlineStr">
        <is>
          <t>https://www.habitatpresto.com/mag/renovation/rehabiliter-grange-renovation</t>
        </is>
      </c>
      <c r="D421" s="25" t="inlineStr">
        <is>
          <t>site commercial</t>
        </is>
      </c>
      <c r="E421" s="25" t="inlineStr">
        <is>
          <t>2026-10-14</t>
        </is>
      </c>
      <c r="F421" s="25" t="inlineStr">
        <is>
          <t>extrait</t>
        </is>
      </c>
      <c r="G421" s="25" t="inlineStr">
        <is>
          <t>R8 §3.2 fourchette générale de rénovation</t>
        </is>
      </c>
      <c r="H421" s="25" t="inlineStr">
        <is>
          <t>faible</t>
        </is>
      </c>
    </row>
    <row r="422">
      <c r="A422" s="25" t="inlineStr">
        <is>
          <t>R8-26</t>
        </is>
      </c>
      <c r="B422" s="8" t="inlineStr">
        <is>
          <t>Château de Ferrières-en-Brie (Wikipédia, version consultée le 2026-10-14)</t>
        </is>
      </c>
      <c r="C422" s="25" t="inlineStr">
        <is>
          <t>https://fr.wikipedia.org/wiki/Ch%C3%A2teau_de_Ferri%C3%A8res-en-Brie</t>
        </is>
      </c>
      <c r="D422" s="25" t="inlineStr">
        <is>
          <t>encyclopédie collaborative</t>
        </is>
      </c>
      <c r="E422" s="25" t="inlineStr">
        <is>
          <t>2026-10-14</t>
        </is>
      </c>
      <c r="F422" s="25" t="inlineStr">
        <is>
          <t>page_lue</t>
        </is>
      </c>
      <c r="G422" s="25" t="inlineStr">
        <is>
          <t>R8 §4 locataires institutionnels (école Ferrières)</t>
        </is>
      </c>
      <c r="H422" s="25" t="inlineStr">
        <is>
          <t>moyenne</t>
        </is>
      </c>
    </row>
    <row r="423">
      <c r="A423" s="25" t="inlineStr">
        <is>
          <t>R8-27</t>
        </is>
      </c>
      <c r="B423" s="8" t="inlineStr">
        <is>
          <t>Institut Lyfe (Wikipédia, version consultée le 2026-10-14)</t>
        </is>
      </c>
      <c r="C423" s="25" t="inlineStr">
        <is>
          <t>https://fr.wikipedia.org/wiki/Institut_Lyfe</t>
        </is>
      </c>
      <c r="D423" s="25" t="inlineStr">
        <is>
          <t>encyclopédie collaborative</t>
        </is>
      </c>
      <c r="E423" s="25" t="inlineStr">
        <is>
          <t>2026-10-14</t>
        </is>
      </c>
      <c r="F423" s="25" t="inlineStr">
        <is>
          <t>page_lue</t>
        </is>
      </c>
      <c r="G423" s="25" t="inlineStr">
        <is>
          <t>R8 §4 locataires institutionnels (château du Vivier)</t>
        </is>
      </c>
      <c r="H423" s="25" t="inlineStr">
        <is>
          <t>moyenne</t>
        </is>
      </c>
    </row>
    <row r="424">
      <c r="A424" s="25" t="inlineStr">
        <is>
          <t>R8-28</t>
        </is>
      </c>
      <c r="B424" s="8" t="inlineStr">
        <is>
          <t>École nationale supérieure de pâtisserie (Wikipédia, version consultée le 2026-10-14)</t>
        </is>
      </c>
      <c r="C424" s="25" t="inlineStr">
        <is>
          <t>https://fr.wikipedia.org/wiki/%C3%89cole_nationale_sup%C3%A9rieure_de_p%C3%A2tisserie</t>
        </is>
      </c>
      <c r="D424" s="25" t="inlineStr">
        <is>
          <t>encyclopédie collaborative</t>
        </is>
      </c>
      <c r="E424" s="25" t="inlineStr">
        <is>
          <t>2026-10-14</t>
        </is>
      </c>
      <c r="F424" s="25" t="inlineStr">
        <is>
          <t>page_lue</t>
        </is>
      </c>
      <c r="G424" s="25" t="inlineStr">
        <is>
          <t>R8 §4 locataires institutionnels (château de Montbarnier, Yssingeaux)</t>
        </is>
      </c>
      <c r="H424" s="25" t="inlineStr">
        <is>
          <t>moyenne</t>
        </is>
      </c>
    </row>
    <row r="425">
      <c r="A425" s="25" t="inlineStr">
        <is>
          <t>R8-29</t>
        </is>
      </c>
      <c r="B425" s="8" t="inlineStr">
        <is>
          <t>ASPIM — Collecte et performance des fonds immobiliers grand public en 2025 (communiqué du 9 février 2026)</t>
        </is>
      </c>
      <c r="C425" s="25" t="inlineStr">
        <is>
          <t>https://www.aspim.fr/actualites/collecte-et-performance-des-fonds-immobiliers-grand-public-en-2025-des-signaux-damelioration-dans-des-marches-encore-sous-contraintes/</t>
        </is>
      </c>
      <c r="D425" s="25" t="inlineStr">
        <is>
          <t>association professionnelle (données de marché)</t>
        </is>
      </c>
      <c r="E425" s="25" t="inlineStr">
        <is>
          <t>2026-10-14</t>
        </is>
      </c>
      <c r="F425" s="25" t="inlineStr">
        <is>
          <t>page_lue</t>
        </is>
      </c>
      <c r="G425" s="25" t="inlineStr">
        <is>
          <t>R8 §7.3 rendement des SCPI 2024-2025</t>
        </is>
      </c>
      <c r="H425" s="25" t="inlineStr">
        <is>
          <t>haute</t>
        </is>
      </c>
    </row>
    <row r="426">
      <c r="A426" s="25" t="inlineStr">
        <is>
          <t>R8-30</t>
        </is>
      </c>
      <c r="B426" s="8" t="inlineStr">
        <is>
          <t>ASPIM — Collecte et performance des fonds immobiliers grand public au premier semestre 2026 (communiqué du 5 août 2026)</t>
        </is>
      </c>
      <c r="C426" s="25" t="inlineStr">
        <is>
          <t>https://www.aspim.fr/actualites/collecte-et-performance-des-fonds-immobiliers-grand-public-au-premier-semestre-2026/</t>
        </is>
      </c>
      <c r="D426" s="25" t="inlineStr">
        <is>
          <t>association professionnelle (données de marché)</t>
        </is>
      </c>
      <c r="E426" s="25" t="inlineStr">
        <is>
          <t>2026-10-14</t>
        </is>
      </c>
      <c r="F426" s="25" t="inlineStr">
        <is>
          <t>page_lue</t>
        </is>
      </c>
      <c r="G426" s="25" t="inlineStr">
        <is>
          <t>R8 §7.3 SCPI 1er semestre 2026</t>
        </is>
      </c>
      <c r="H426" s="25" t="inlineStr">
        <is>
          <t>haute</t>
        </is>
      </c>
    </row>
    <row r="427">
      <c r="A427" s="25" t="inlineStr">
        <is>
          <t>R8-31</t>
        </is>
      </c>
      <c r="B427" s="8" t="inlineStr">
        <is>
          <t>Service-public.gouv.fr — Impôt sur le revenu : revenus d'épargne et de placement (F2613, vérifié le 15 avril 2026)</t>
        </is>
      </c>
      <c r="C427" s="25" t="inlineStr">
        <is>
          <t>https://www.service-public.gouv.fr/particuliers/vosdroits/F2613</t>
        </is>
      </c>
      <c r="D427" s="25" t="inlineStr">
        <is>
          <t>site officiel de l'administration</t>
        </is>
      </c>
      <c r="E427" s="25" t="inlineStr">
        <is>
          <t>2026-10-14</t>
        </is>
      </c>
      <c r="F427" s="25" t="inlineStr">
        <is>
          <t>page_lue</t>
        </is>
      </c>
      <c r="G427" s="25" t="inlineStr">
        <is>
          <t>R8 §7.2 PFU et prélèvements sociaux 2026</t>
        </is>
      </c>
      <c r="H427" s="25" t="inlineStr">
        <is>
          <t>haute</t>
        </is>
      </c>
    </row>
    <row r="428">
      <c r="A428" s="25" t="inlineStr">
        <is>
          <t>R8-32</t>
        </is>
      </c>
      <c r="B428" s="8" t="inlineStr">
        <is>
          <t>UBS Global Investment Returns Yearbook 2025 (page de présentation)</t>
        </is>
      </c>
      <c r="C428" s="25" t="inlineStr">
        <is>
          <t>https://www.ubs.com/global/en/investment-bank/insights-and-data/2025/global-investment-returns-yearbook-2025.html</t>
        </is>
      </c>
      <c r="D428" s="25" t="inlineStr">
        <is>
          <t>banque (étude Dimson-Marsh-Staunton)</t>
        </is>
      </c>
      <c r="E428" s="25" t="inlineStr">
        <is>
          <t>2026-10-14</t>
        </is>
      </c>
      <c r="F428" s="25" t="inlineStr">
        <is>
          <t>page_lue</t>
        </is>
      </c>
      <c r="G428" s="25" t="inlineStr">
        <is>
          <t>R8 §7.1 rendements réels de long terme</t>
        </is>
      </c>
      <c r="H428" s="25" t="inlineStr">
        <is>
          <t>haute</t>
        </is>
      </c>
    </row>
    <row r="429">
      <c r="A429" s="25" t="inlineStr">
        <is>
          <t>R8-33</t>
        </is>
      </c>
      <c r="B429" s="8" t="inlineStr">
        <is>
          <t>NBER Working Paper 24112 — The Rate of Return on Everything, 1870–2015 (Jordà et al.)</t>
        </is>
      </c>
      <c r="C429" s="25" t="inlineStr">
        <is>
          <t>https://www.nber.org/papers/w24112</t>
        </is>
      </c>
      <c r="D429" s="25" t="inlineStr">
        <is>
          <t>article académique (résumé)</t>
        </is>
      </c>
      <c r="E429" s="25" t="inlineStr">
        <is>
          <t>2026-10-14</t>
        </is>
      </c>
      <c r="F429" s="25" t="inlineStr">
        <is>
          <t>page_lue</t>
        </is>
      </c>
      <c r="G429" s="25" t="inlineStr">
        <is>
          <t>R8 §7.1 (résumé sans chiffres)</t>
        </is>
      </c>
      <c r="H429" s="25" t="inlineStr">
        <is>
          <t>haute</t>
        </is>
      </c>
    </row>
    <row r="430">
      <c r="A430" s="25" t="inlineStr">
        <is>
          <t>R8-34</t>
        </is>
      </c>
      <c r="B430" s="8" t="inlineStr">
        <is>
          <t>2025 NACUBO-Commonfund Study of Endowments — Summary and Key Insights (PDF)</t>
        </is>
      </c>
      <c r="C430" s="25" t="inlineStr">
        <is>
          <t>https://edge.sitecorecloud.io/nacubo1-nacubo-prd-dc8b/media/Nacubo/Documents/EndowmentFiles/2025-NCSE---Summary-and-Key-Insights-from-the-2025-NCSE-FINAL.pdf</t>
        </is>
      </c>
      <c r="D430" s="25" t="inlineStr">
        <is>
          <t>étude annuelle de référence (associations professionnelles)</t>
        </is>
      </c>
      <c r="E430" s="25" t="inlineStr">
        <is>
          <t>2026-10-14</t>
        </is>
      </c>
      <c r="F430" s="25" t="inlineStr">
        <is>
          <t>page_lue</t>
        </is>
      </c>
      <c r="G430" s="25" t="inlineStr">
        <is>
          <t>R8 §7.1 taux de dépense des dotations</t>
        </is>
      </c>
      <c r="H430" s="25" t="inlineStr">
        <is>
          <t>haute</t>
        </is>
      </c>
    </row>
    <row r="431">
      <c r="A431" s="25" t="inlineStr">
        <is>
          <t>R8-35</t>
        </is>
      </c>
      <c r="B431" s="8" t="inlineStr">
        <is>
          <t>Argos Index® mid-market — 2e trimestre 2026 (Argos Wityu / Epsilon Research, PDF)</t>
        </is>
      </c>
      <c r="C431" s="25" t="inlineStr">
        <is>
          <t>https://argos.fund/wp-content/uploads/2026/09/ARGOS-INDEX-Q2-2026_FR.pdf</t>
        </is>
      </c>
      <c r="D431" s="25" t="inlineStr">
        <is>
          <t>indice de référence du capital-investissement (zone euro)</t>
        </is>
      </c>
      <c r="E431" s="25" t="inlineStr">
        <is>
          <t>2026-10-14</t>
        </is>
      </c>
      <c r="F431" s="25" t="inlineStr">
        <is>
          <t>page_lue</t>
        </is>
      </c>
      <c r="G431" s="25" t="inlineStr">
        <is>
          <t>R8 §7.5 multiples de valorisation des PME</t>
        </is>
      </c>
      <c r="H431" s="25" t="inlineStr">
        <is>
          <t>haute</t>
        </is>
      </c>
    </row>
    <row r="432">
      <c r="A432" s="25" t="inlineStr">
        <is>
          <t>R8-36</t>
        </is>
      </c>
      <c r="B432" s="8" t="inlineStr">
        <is>
          <t>Question écrite n° 75244 (12e législature) « transmission », question publiée le 11 octobre 2005, réponse le 15 novembre 2005 (PDF)</t>
        </is>
      </c>
      <c r="C432" s="25" t="inlineStr">
        <is>
          <t>https://www.assemblee-nationale.fr/dyn/12/questions/QANR5L12QE75244.pdf</t>
        </is>
      </c>
      <c r="D432" s="25" t="inlineStr">
        <is>
          <t>question parlementaire citant une étude OSEO-BDPME</t>
        </is>
      </c>
      <c r="E432" s="25" t="inlineStr">
        <is>
          <t>2026-10-14</t>
        </is>
      </c>
      <c r="F432" s="25" t="inlineStr">
        <is>
          <t>page_lue</t>
        </is>
      </c>
      <c r="G432" s="25" t="inlineStr">
        <is>
          <t>R8 §7.5 taux d'échec des transmissions</t>
        </is>
      </c>
      <c r="H432" s="25" t="inlineStr">
        <is>
          <t>moyenne</t>
        </is>
      </c>
    </row>
    <row r="433">
      <c r="A433" s="25" t="inlineStr">
        <is>
          <t>R8-37</t>
        </is>
      </c>
      <c r="B433" s="8" t="inlineStr">
        <is>
          <t>Transmission des commerces : comment éviter le gâchis (Banque des Territoires, vu dans les résultats de recherche, page en maintenance)</t>
        </is>
      </c>
      <c r="C433" s="25" t="inlineStr">
        <is>
          <t>https://www.banquedesterritoires.fr/transmission-des-commerces-comment-eviter-le-gachis</t>
        </is>
      </c>
      <c r="D433" s="25" t="inlineStr">
        <is>
          <t>presse institutionnelle (Caisse des Dépôts)</t>
        </is>
      </c>
      <c r="E433" s="25" t="inlineStr">
        <is>
          <t>2026-10-14</t>
        </is>
      </c>
      <c r="F433" s="25" t="inlineStr">
        <is>
          <t>extrait</t>
        </is>
      </c>
      <c r="G433" s="25" t="inlineStr">
        <is>
          <t>R8 §7.5 survie à 5 ans des établissements repris</t>
        </is>
      </c>
      <c r="H433" s="25" t="inlineStr">
        <is>
          <t>moyenne</t>
        </is>
      </c>
    </row>
    <row r="434">
      <c r="A434" s="25" t="inlineStr">
        <is>
          <t>R8-38</t>
        </is>
      </c>
      <c r="B434" s="8" t="inlineStr">
        <is>
          <t>Polo de Paris (Wikipédia, version consultée le 2026-10-14)</t>
        </is>
      </c>
      <c r="C434" s="25" t="inlineStr">
        <is>
          <t>https://fr.wikipedia.org/wiki/Polo_de_Paris</t>
        </is>
      </c>
      <c r="D434" s="25" t="inlineStr">
        <is>
          <t>encyclopédie collaborative</t>
        </is>
      </c>
      <c r="E434" s="25" t="inlineStr">
        <is>
          <t>2026-10-14</t>
        </is>
      </c>
      <c r="F434" s="25" t="inlineStr">
        <is>
          <t>page_lue</t>
        </is>
      </c>
      <c r="G434" s="25" t="inlineStr">
        <is>
          <t>R8 §5 cotisations de club (données 2010)</t>
        </is>
      </c>
      <c r="H434" s="25" t="inlineStr">
        <is>
          <t>moyenne</t>
        </is>
      </c>
    </row>
    <row r="435">
      <c r="A435" s="25" t="inlineStr">
        <is>
          <t>R8-39</t>
        </is>
      </c>
      <c r="B435" s="8" t="inlineStr">
        <is>
          <t>Soho House (club) (Wikipedia, version consultée le 2026-10-14)</t>
        </is>
      </c>
      <c r="C435" s="25" t="inlineStr">
        <is>
          <t>https://en.wikipedia.org/wiki/Soho_House_(club)</t>
        </is>
      </c>
      <c r="D435" s="25" t="inlineStr">
        <is>
          <t>encyclopédie collaborative</t>
        </is>
      </c>
      <c r="E435" s="25" t="inlineStr">
        <is>
          <t>2026-10-14</t>
        </is>
      </c>
      <c r="F435" s="25" t="inlineStr">
        <is>
          <t>page_lue</t>
        </is>
      </c>
      <c r="G435" s="25" t="inlineStr">
        <is>
          <t>R8 §5 modèle Soho Farmhouse / pertes du groupe</t>
        </is>
      </c>
      <c r="H435" s="25" t="inlineStr">
        <is>
          <t>moyenne</t>
        </is>
      </c>
    </row>
    <row r="436">
      <c r="A436" s="25" t="inlineStr">
        <is>
          <t>R8-40</t>
        </is>
      </c>
      <c r="B436" s="8" t="inlineStr">
        <is>
          <t>Reschio — About us (site officiel du domaine)</t>
        </is>
      </c>
      <c r="C436" s="25" t="inlineStr">
        <is>
          <t>https://www.reschio.com/about-us</t>
        </is>
      </c>
      <c r="D436" s="25" t="inlineStr">
        <is>
          <t>site du domaine</t>
        </is>
      </c>
      <c r="E436" s="25" t="inlineStr">
        <is>
          <t>2026-10-14</t>
        </is>
      </c>
      <c r="F436" s="25" t="inlineStr">
        <is>
          <t>page_lue</t>
        </is>
      </c>
      <c r="G436" s="25" t="inlineStr">
        <is>
          <t>R8 §6.1 modèle de Castello di Reschio</t>
        </is>
      </c>
      <c r="H436" s="25" t="inlineStr">
        <is>
          <t>moyenne</t>
        </is>
      </c>
    </row>
    <row r="437">
      <c r="A437" s="25" t="inlineStr">
        <is>
          <t>R8-41</t>
        </is>
      </c>
      <c r="B437" s="8" t="inlineStr">
        <is>
          <t>Why the ultra-wealthy are buying estates in a part of Italy most Americans have never heard of (Resident, URL datée du 4 juin 2026)</t>
        </is>
      </c>
      <c r="C437" s="25" t="inlineStr">
        <is>
          <t>https://resident.com/amp/story/real-estate-resources/2026/06/04/why-the-ultra-wealthy-are-buying-estates-in-a-part-of-italy-most-americans-have-never-heard-of</t>
        </is>
      </c>
      <c r="D437" s="25" t="inlineStr">
        <is>
          <t>presse magazine</t>
        </is>
      </c>
      <c r="E437" s="25" t="inlineStr">
        <is>
          <t>2026-10-14</t>
        </is>
      </c>
      <c r="F437" s="25" t="inlineStr">
        <is>
          <t>page_lue</t>
        </is>
      </c>
      <c r="G437" s="25" t="inlineStr">
        <is>
          <t>R8 §6.1 Reschio (surface, modèle)</t>
        </is>
      </c>
      <c r="H437" s="25" t="inlineStr">
        <is>
          <t>faible</t>
        </is>
      </c>
    </row>
    <row r="438">
      <c r="A438" s="25" t="inlineStr">
        <is>
          <t>R8-42</t>
        </is>
      </c>
      <c r="B438" s="8" t="inlineStr">
        <is>
          <t>Luxury farmhouses for sale in Italy (Country Life, texte non lisible, vu dans les résultats de recherche)</t>
        </is>
      </c>
      <c r="C438" s="25" t="inlineStr">
        <is>
          <t>https://countrylife.co.uk/news/luxury-farmhouses-for-sale-in-italy-26095</t>
        </is>
      </c>
      <c r="D438" s="25" t="inlineStr">
        <is>
          <t>presse immobilière de prestige</t>
        </is>
      </c>
      <c r="E438" s="25" t="inlineStr">
        <is>
          <t>2026-10-14</t>
        </is>
      </c>
      <c r="F438" s="25" t="inlineStr">
        <is>
          <t>extrait</t>
        </is>
      </c>
      <c r="G438" s="25" t="inlineStr">
        <is>
          <t>R8 §6.1 Reschio (nombre de fermes vendues)</t>
        </is>
      </c>
      <c r="H438" s="25" t="inlineStr">
        <is>
          <t>moyenne</t>
        </is>
      </c>
    </row>
    <row r="439">
      <c r="A439" s="25" t="inlineStr">
        <is>
          <t>R8-43</t>
        </is>
      </c>
      <c r="B439" s="8" t="inlineStr">
        <is>
          <t>Castello di Reschio (Wikipedia, version consultée le 2026-10-14)</t>
        </is>
      </c>
      <c r="C439" s="25" t="inlineStr">
        <is>
          <t>https://en.wikipedia.org/wiki/Castello_di_Reschio</t>
        </is>
      </c>
      <c r="D439" s="25" t="inlineStr">
        <is>
          <t>encyclopédie collaborative</t>
        </is>
      </c>
      <c r="E439" s="25" t="inlineStr">
        <is>
          <t>2026-10-14</t>
        </is>
      </c>
      <c r="F439" s="25" t="inlineStr">
        <is>
          <t>page_lue</t>
        </is>
      </c>
      <c r="G439" s="25" t="inlineStr">
        <is>
          <t>R8 §6.1 Reschio (date d'achat)</t>
        </is>
      </c>
      <c r="H439" s="25" t="inlineStr">
        <is>
          <t>moyenne</t>
        </is>
      </c>
    </row>
    <row r="440">
      <c r="A440" s="25" t="inlineStr">
        <is>
          <t>R8-44</t>
        </is>
      </c>
      <c r="B440" s="8" t="inlineStr">
        <is>
          <t>Usufruit, nue-propriété, pleine propriété : quelles différences ? (Service-public, F33076, vérifié le 6 décembre 2024)</t>
        </is>
      </c>
      <c r="C440" s="25" t="inlineStr">
        <is>
          <t>https://www.service-public.gouv.fr/particuliers/vosdroits/F33076</t>
        </is>
      </c>
      <c r="D440" s="25" t="inlineStr">
        <is>
          <t>site officiel de l'administration</t>
        </is>
      </c>
      <c r="E440" s="25" t="inlineStr">
        <is>
          <t>2026-10-14</t>
        </is>
      </c>
      <c r="F440" s="25" t="inlineStr">
        <is>
          <t>page_lue</t>
        </is>
      </c>
      <c r="G440" s="25" t="inlineStr">
        <is>
          <t>R8 §6.3 démembrement</t>
        </is>
      </c>
      <c r="H440" s="25" t="inlineStr">
        <is>
          <t>haute</t>
        </is>
      </c>
    </row>
    <row r="441">
      <c r="A441" s="25" t="inlineStr">
        <is>
          <t>R8-45</t>
        </is>
      </c>
      <c r="B441" s="8" t="inlineStr">
        <is>
          <t>Fonds de dotation (Wikipédia, version consultée le 2026-10-14)</t>
        </is>
      </c>
      <c r="C441" s="25" t="inlineStr">
        <is>
          <t>https://fr.wikipedia.org/wiki/Fonds_de_dotation</t>
        </is>
      </c>
      <c r="D441" s="25" t="inlineStr">
        <is>
          <t>encyclopédie collaborative (sections signalées comme à sourcer)</t>
        </is>
      </c>
      <c r="E441" s="25" t="inlineStr">
        <is>
          <t>2026-10-14</t>
        </is>
      </c>
      <c r="F441" s="25" t="inlineStr">
        <is>
          <t>page_lue</t>
        </is>
      </c>
      <c r="G441" s="25" t="inlineStr">
        <is>
          <t>R8 §6.4 fonds de dotation</t>
        </is>
      </c>
      <c r="H441" s="25" t="inlineStr">
        <is>
          <t>moyenne</t>
        </is>
      </c>
    </row>
    <row r="442">
      <c r="A442" s="25" t="inlineStr">
        <is>
          <t>R8-46</t>
        </is>
      </c>
      <c r="B442" s="8" t="inlineStr">
        <is>
          <t>Fondation de Coubertin (Wikipédia, version consultée le 2026-10-14)</t>
        </is>
      </c>
      <c r="C442" s="25" t="inlineStr">
        <is>
          <t>https://fr.wikipedia.org/wiki/Fondation_de_Coubertin</t>
        </is>
      </c>
      <c r="D442" s="25" t="inlineStr">
        <is>
          <t>encyclopédie collaborative</t>
        </is>
      </c>
      <c r="E442" s="25" t="inlineStr">
        <is>
          <t>2026-10-14</t>
        </is>
      </c>
      <c r="F442" s="25" t="inlineStr">
        <is>
          <t>page_lue</t>
        </is>
      </c>
      <c r="G442" s="25" t="inlineStr">
        <is>
          <t>R8 §6.4 et §8.2 domaine porté par une fondation, pôle d'artisans</t>
        </is>
      </c>
      <c r="H442" s="25" t="inlineStr">
        <is>
          <t>moyenne</t>
        </is>
      </c>
    </row>
    <row r="443">
      <c r="A443" s="25" t="inlineStr">
        <is>
          <t>R8-47</t>
        </is>
      </c>
      <c r="B443" s="8" t="inlineStr">
        <is>
          <t>France compétences — Référentiel unique des NPEC applicables au 1er septembre 2026 (fichier xlsx dans une archive zip, décret n° 2026-832 du 29 août 2026)</t>
        </is>
      </c>
      <c r="C443" s="25" t="inlineStr">
        <is>
          <t>https://www.francecompetences.fr/app/uploads/2026/09/Referentiel-unique-des-NPEC-1er-septembre-2026.zip</t>
        </is>
      </c>
      <c r="D443" s="25" t="inlineStr">
        <is>
          <t>référentiel officiel (autorité publique)</t>
        </is>
      </c>
      <c r="E443" s="25" t="inlineStr">
        <is>
          <t>2026-10-14</t>
        </is>
      </c>
      <c r="F443" s="25" t="inlineStr">
        <is>
          <t>page_lue</t>
        </is>
      </c>
      <c r="G443" s="25" t="inlineStr">
        <is>
          <t>R8 §8.1 CFA métiers du cheval et du patrimoine</t>
        </is>
      </c>
      <c r="H443" s="25" t="inlineStr">
        <is>
          <t>haute</t>
        </is>
      </c>
    </row>
    <row r="444">
      <c r="A444" s="25" t="inlineStr">
        <is>
          <t>R8-48</t>
        </is>
      </c>
      <c r="B444" s="8" t="inlineStr">
        <is>
          <t>France compétences — page d'accueil (liens vers les NPEC)</t>
        </is>
      </c>
      <c r="C444" s="25" t="inlineStr">
        <is>
          <t>https://www.francecompetences.fr/</t>
        </is>
      </c>
      <c r="D444" s="25" t="inlineStr">
        <is>
          <t>site officiel</t>
        </is>
      </c>
      <c r="E444" s="25" t="inlineStr">
        <is>
          <t>2026-10-14</t>
        </is>
      </c>
      <c r="F444" s="25" t="inlineStr">
        <is>
          <t>page_lue</t>
        </is>
      </c>
      <c r="G444" s="25" t="inlineStr">
        <is>
          <t>R8 §8.1 accès au référentiel</t>
        </is>
      </c>
      <c r="H444" s="25" t="inlineStr">
        <is>
          <t>haute</t>
        </is>
      </c>
    </row>
    <row r="445">
      <c r="A445" s="25" t="inlineStr">
        <is>
          <t>R8-49</t>
        </is>
      </c>
      <c r="B445" s="8" t="inlineStr">
        <is>
          <t>Castello di Reschio opens as unparalleled mecca of Italian authenticity (Cultured, URL datée du 28 juin 2021, vu dans les résultats de recherche)</t>
        </is>
      </c>
      <c r="C445" s="25" t="inlineStr">
        <is>
          <t>https://www.culturedmag.com/article/2021/06/28/castello-di-reschio-opens-as-unparalleled-mecca-of-italian-authenticity</t>
        </is>
      </c>
      <c r="D445" s="25" t="inlineStr">
        <is>
          <t>presse magazine</t>
        </is>
      </c>
      <c r="E445" s="25" t="inlineStr">
        <is>
          <t>2026-10-14</t>
        </is>
      </c>
      <c r="F445" s="25" t="inlineStr">
        <is>
          <t>extrait</t>
        </is>
      </c>
      <c r="G445" s="25" t="inlineStr">
        <is>
          <t>R8 §6.1 ouverture de l'hôtel du château (2021), 30 fermes restaurées</t>
        </is>
      </c>
      <c r="H445" s="25" t="inlineStr">
        <is>
          <t>faible</t>
        </is>
      </c>
    </row>
    <row r="446">
      <c r="A446" s="25" t="inlineStr">
        <is>
          <t>V2A-01</t>
        </is>
      </c>
      <c r="B446" s="8" t="inlineStr">
        <is>
          <t>API Recherche d'entreprises - requête « chateauform » (12 entités du groupe, comptes publiés)</t>
        </is>
      </c>
      <c r="C446" s="25" t="inlineStr">
        <is>
          <t>https://recherche-entreprises.api.gouv.fr/search?q=chateauform&amp;per_page=25</t>
        </is>
      </c>
      <c r="D446" s="25" t="inlineStr">
        <is>
          <t>registre officiel (API data.gouv)</t>
        </is>
      </c>
      <c r="E446" s="25" t="inlineStr">
        <is>
          <t>2026-10-14</t>
        </is>
      </c>
      <c r="F446" s="25" t="inlineStr">
        <is>
          <t>page_lue</t>
        </is>
      </c>
      <c r="G446" s="25" t="inlineStr">
        <is>
          <t>§1 Châteauform' structure et comptes</t>
        </is>
      </c>
      <c r="H446" s="25" t="inlineStr">
        <is>
          <t>haute</t>
        </is>
      </c>
    </row>
    <row r="447">
      <c r="A447" s="25" t="inlineStr">
        <is>
          <t>V2A-02</t>
        </is>
      </c>
      <c r="B447" s="8" t="inlineStr">
        <is>
          <t>API BODACC (DILA, opendatasoft) - annonces dont le commerçant contient CHATEAUFORM (158 annonces) et sous-ensemble « ventes et cessions » (3)</t>
        </is>
      </c>
      <c r="C447" s="25" t="inlineStr">
        <is>
          <t>https://bodacc-datadila.opendatasoft.com/api/explore/v2.1/catalog/datasets/annonces-commerciales/records?where=commercant%20like%20%22%25CHATEAUFORM%25%22&amp;limit=100</t>
        </is>
      </c>
      <c r="D447" s="25" t="inlineStr">
        <is>
          <t>registre officiel (BODACC)</t>
        </is>
      </c>
      <c r="E447" s="25" t="inlineStr">
        <is>
          <t>2026-10-14</t>
        </is>
      </c>
      <c r="F447" s="25" t="inlineStr">
        <is>
          <t>page_lue</t>
        </is>
      </c>
      <c r="G447" s="25" t="inlineStr">
        <is>
          <t>§1 acquisition du fonds de Bellinglise (350 000 €, 2017) et fusion 2024</t>
        </is>
      </c>
      <c r="H447" s="25" t="inlineStr">
        <is>
          <t>haute</t>
        </is>
      </c>
    </row>
    <row r="448">
      <c r="A448" s="25" t="inlineStr">
        <is>
          <t>V2A-03</t>
        </is>
      </c>
      <c r="B448" s="8" t="inlineStr">
        <is>
          <t>API BODACC - recherche plein texte « chateauform » hors dénomination (42 annonces) : achat du fonds du centre de Fillerval à FORMIVAL (500 000 €, 2017)</t>
        </is>
      </c>
      <c r="C448" s="25" t="inlineStr">
        <is>
          <t>https://bodacc-datadila.opendatasoft.com/api/explore/v2.1/catalog/datasets/annonces-commerciales/records?where=search(*,%22chateauform%22)</t>
        </is>
      </c>
      <c r="D448" s="25" t="inlineStr">
        <is>
          <t>registre officiel (BODACC)</t>
        </is>
      </c>
      <c r="E448" s="25" t="inlineStr">
        <is>
          <t>2026-10-14</t>
        </is>
      </c>
      <c r="F448" s="25" t="inlineStr">
        <is>
          <t>page_lue</t>
        </is>
      </c>
      <c r="G448" s="25" t="inlineStr">
        <is>
          <t>§1 Fillerval</t>
        </is>
      </c>
      <c r="H448" s="25" t="inlineStr">
        <is>
          <t>haute</t>
        </is>
      </c>
    </row>
    <row r="449">
      <c r="A449" s="25" t="inlineStr">
        <is>
          <t>V2A-04</t>
        </is>
      </c>
      <c r="B449" s="8" t="inlineStr">
        <is>
          <t>API Recherche d'entreprises - CHATEAUFORM'PARTICIPATIONS (SIREN 495133282)</t>
        </is>
      </c>
      <c r="C449" s="25" t="inlineStr">
        <is>
          <t>https://recherche-entreprises.api.gouv.fr/search?q=495133282</t>
        </is>
      </c>
      <c r="D449" s="25" t="inlineStr">
        <is>
          <t>registre officiel (API data.gouv)</t>
        </is>
      </c>
      <c r="E449" s="25" t="inlineStr">
        <is>
          <t>2026-10-14</t>
        </is>
      </c>
      <c r="F449" s="25" t="inlineStr">
        <is>
          <t>page_lue</t>
        </is>
      </c>
      <c r="G449" s="25" t="inlineStr">
        <is>
          <t>§1 structure</t>
        </is>
      </c>
      <c r="H449" s="25" t="inlineStr">
        <is>
          <t>haute</t>
        </is>
      </c>
    </row>
    <row r="450">
      <c r="A450" s="25" t="inlineStr">
        <is>
          <t>V2A-05</t>
        </is>
      </c>
      <c r="B450" s="8" t="inlineStr">
        <is>
          <t>API Recherche d'entreprises - requête « bellinglise » (SA CHATEAU DE BELLINGLISE, NAF 68.20B, liquidée)</t>
        </is>
      </c>
      <c r="C450" s="25" t="inlineStr">
        <is>
          <t>https://recherche-entreprises.api.gouv.fr/search?q=bellinglise&amp;per_page=25</t>
        </is>
      </c>
      <c r="D450" s="25" t="inlineStr">
        <is>
          <t>registre officiel (API data.gouv)</t>
        </is>
      </c>
      <c r="E450" s="25" t="inlineStr">
        <is>
          <t>2026-10-14</t>
        </is>
      </c>
      <c r="F450" s="25" t="inlineStr">
        <is>
          <t>page_lue</t>
        </is>
      </c>
      <c r="G450" s="25" t="inlineStr">
        <is>
          <t>§1 Bellinglise</t>
        </is>
      </c>
      <c r="H450" s="25" t="inlineStr">
        <is>
          <t>haute</t>
        </is>
      </c>
    </row>
    <row r="451">
      <c r="A451" s="25" t="inlineStr">
        <is>
          <t>V2A-06</t>
        </is>
      </c>
      <c r="B451" s="8" t="inlineStr">
        <is>
          <t>API Recherche d'entreprises - requête « fillerval » (SCI du centre de Fillerval fermée, FORMIVAL fermée, LAGUNE FILLERVAL active)</t>
        </is>
      </c>
      <c r="C451" s="25" t="inlineStr">
        <is>
          <t>https://recherche-entreprises.api.gouv.fr/search?q=fillerval&amp;per_page=25</t>
        </is>
      </c>
      <c r="D451" s="25" t="inlineStr">
        <is>
          <t>registre officiel (API data.gouv)</t>
        </is>
      </c>
      <c r="E451" s="25" t="inlineStr">
        <is>
          <t>2026-10-14</t>
        </is>
      </c>
      <c r="F451" s="25" t="inlineStr">
        <is>
          <t>page_lue</t>
        </is>
      </c>
      <c r="G451" s="25" t="inlineStr">
        <is>
          <t>§1 Fillerval</t>
        </is>
      </c>
      <c r="H451" s="25" t="inlineStr">
        <is>
          <t>haute</t>
        </is>
      </c>
    </row>
    <row r="452">
      <c r="A452" s="25" t="inlineStr">
        <is>
          <t>V2A-07</t>
        </is>
      </c>
      <c r="B452" s="8" t="inlineStr">
        <is>
          <t>API Recherche d'entreprises - requête « lagune participations » (LAGUNE FILLERVAL créée 2017-10-27, LAGUNE MELLO créée 2018-02-06)</t>
        </is>
      </c>
      <c r="C452" s="25" t="inlineStr">
        <is>
          <t>https://recherche-entreprises.api.gouv.fr/search?q=lagune%20participations&amp;per_page=25</t>
        </is>
      </c>
      <c r="D452" s="25" t="inlineStr">
        <is>
          <t>registre officiel (API data.gouv)</t>
        </is>
      </c>
      <c r="E452" s="25" t="inlineStr">
        <is>
          <t>2026-10-14</t>
        </is>
      </c>
      <c r="F452" s="25" t="inlineStr">
        <is>
          <t>page_lue</t>
        </is>
      </c>
      <c r="G452" s="25" t="inlineStr">
        <is>
          <t>§1 bailleur investisseur</t>
        </is>
      </c>
      <c r="H452" s="25" t="inlineStr">
        <is>
          <t>haute</t>
        </is>
      </c>
    </row>
    <row r="453">
      <c r="A453" s="25" t="inlineStr">
        <is>
          <t>V2A-08</t>
        </is>
      </c>
      <c r="B453" s="8" t="inlineStr">
        <is>
          <t>API Recherche d'entreprises - LAGUNE (SIREN 318045069), présidée par BATIPART IMMO EUROPE MANAGEMENT FRANCE, CA 2025 24,9 M€</t>
        </is>
      </c>
      <c r="C453" s="25" t="inlineStr">
        <is>
          <t>https://recherche-entreprises.api.gouv.fr/search?q=318045069</t>
        </is>
      </c>
      <c r="D453" s="25" t="inlineStr">
        <is>
          <t>registre officiel (API data.gouv)</t>
        </is>
      </c>
      <c r="E453" s="25" t="inlineStr">
        <is>
          <t>2026-10-14</t>
        </is>
      </c>
      <c r="F453" s="25" t="inlineStr">
        <is>
          <t>page_lue</t>
        </is>
      </c>
      <c r="G453" s="25" t="inlineStr">
        <is>
          <t>§1 bailleur investisseur</t>
        </is>
      </c>
      <c r="H453" s="25" t="inlineStr">
        <is>
          <t>haute</t>
        </is>
      </c>
    </row>
    <row r="454">
      <c r="A454" s="25" t="inlineStr">
        <is>
          <t>V2A-09</t>
        </is>
      </c>
      <c r="B454" s="8" t="inlineStr">
        <is>
          <t>Résultats WebSearch « Batipart Châteauform' murs... » (custplace : « Chateauform Le Grand Mello », Suduiraut 61 chambres, Val Saint-Lambert concession 12 ans, Batipart sale and lease back Adeo)</t>
        </is>
      </c>
      <c r="C454" s="25" t="inlineStr">
        <is>
          <t>https://fr.custplace.com/chateauform-le-grand-mello-191849</t>
        </is>
      </c>
      <c r="D454" s="25" t="inlineStr">
        <is>
          <t>résultats de recherche (extraits)</t>
        </is>
      </c>
      <c r="E454" s="25" t="inlineStr">
        <is>
          <t>2026-10-14</t>
        </is>
      </c>
      <c r="F454" s="25" t="inlineStr">
        <is>
          <t>extrait</t>
        </is>
      </c>
      <c r="G454" s="25" t="inlineStr">
        <is>
          <t>§1 indices</t>
        </is>
      </c>
      <c r="H454" s="25" t="inlineStr">
        <is>
          <t>faible</t>
        </is>
      </c>
    </row>
    <row r="455">
      <c r="A455" s="25" t="inlineStr">
        <is>
          <t>V2A-10</t>
        </is>
      </c>
      <c r="B455" s="8" t="inlineStr">
        <is>
          <t>RTBF, « Seraing : le groupe français Châteauform devient partenaire du Val Saint-Lambert », 23/11/2017</t>
        </is>
      </c>
      <c r="C455" s="25" t="inlineStr">
        <is>
          <t>https://www.rtbf.be/article/seraing-le-groupe-francais-chateauform-devient-partenaire-du-val-saint-lambert-9770707</t>
        </is>
      </c>
      <c r="D455" s="25" t="inlineStr">
        <is>
          <t>presse (service public belge)</t>
        </is>
      </c>
      <c r="E455" s="25" t="inlineStr">
        <is>
          <t>2026-10-14</t>
        </is>
      </c>
      <c r="F455" s="25" t="inlineStr">
        <is>
          <t>page_lue</t>
        </is>
      </c>
      <c r="G455" s="25" t="inlineStr">
        <is>
          <t>§1 contrat de concession 12 ans</t>
        </is>
      </c>
      <c r="H455" s="25" t="inlineStr">
        <is>
          <t>moyenne</t>
        </is>
      </c>
    </row>
    <row r="456">
      <c r="A456" s="25" t="inlineStr">
        <is>
          <t>V2A-11</t>
        </is>
      </c>
      <c r="B456" s="8" t="inlineStr">
        <is>
          <t>Châteauform, brochure « Le Château de Suduiraut » (PDF 14 p., extrait localement avec pdftotext)</t>
        </is>
      </c>
      <c r="C456" s="25" t="inlineStr">
        <is>
          <t>https://assets.chateauform.com/pm_8909_101_101148-ewbg6ahorl.pdf</t>
        </is>
      </c>
      <c r="D456" s="25" t="inlineStr">
        <is>
          <t>document commercial de l'exploitant</t>
        </is>
      </c>
      <c r="E456" s="25" t="inlineStr">
        <is>
          <t>2026-10-14</t>
        </is>
      </c>
      <c r="F456" s="25" t="inlineStr">
        <is>
          <t>page_lue</t>
        </is>
      </c>
      <c r="G456" s="25" t="inlineStr">
        <is>
          <t>§1 maison en domaine viticole (61 chambres)</t>
        </is>
      </c>
      <c r="H456" s="25" t="inlineStr">
        <is>
          <t>moyenne</t>
        </is>
      </c>
    </row>
    <row r="457">
      <c r="A457" s="25" t="inlineStr">
        <is>
          <t>V2A-12</t>
        </is>
      </c>
      <c r="B457" s="8" t="inlineStr">
        <is>
          <t>Châteauform, page d'accueil du site (maisons « au vert » de 40 à 185 chambres, « nous concevons, exploitons et animons nos propres lieux », prix « à partir de 290 € HT par participant/jour »)</t>
        </is>
      </c>
      <c r="C457" s="25" t="inlineStr">
        <is>
          <t>https://www.chateauform.com/fr</t>
        </is>
      </c>
      <c r="D457" s="25" t="inlineStr">
        <is>
          <t>site de l'exploitant</t>
        </is>
      </c>
      <c r="E457" s="25" t="inlineStr">
        <is>
          <t>2026-10-14</t>
        </is>
      </c>
      <c r="F457" s="25" t="inlineStr">
        <is>
          <t>page_lue</t>
        </is>
      </c>
      <c r="G457" s="25" t="inlineStr">
        <is>
          <t>§1 et §4 conditions d'entrée</t>
        </is>
      </c>
      <c r="H457" s="25" t="inlineStr">
        <is>
          <t>moyenne</t>
        </is>
      </c>
    </row>
    <row r="458">
      <c r="A458" s="25" t="inlineStr">
        <is>
          <t>V2A-13</t>
        </is>
      </c>
      <c r="B458" s="8" t="inlineStr">
        <is>
          <t>Châteauform, page de recherche des lieux : données structurées de 67 lieux (nom, marque, chambres, participants, salles, coordonnées GPS, accès, fourchette de prix) extraites du code HTML (curl + Python)</t>
        </is>
      </c>
      <c r="C458" s="25" t="inlineStr">
        <is>
          <t>https://www.chateauform.com/fr/search/?requirement=3</t>
        </is>
      </c>
      <c r="D458" s="25" t="inlineStr">
        <is>
          <t>site de l'exploitant (données brutes)</t>
        </is>
      </c>
      <c r="E458" s="25" t="inlineStr">
        <is>
          <t>2026-10-14</t>
        </is>
      </c>
      <c r="F458" s="25" t="inlineStr">
        <is>
          <t>page_lue</t>
        </is>
      </c>
      <c r="G458" s="25" t="inlineStr">
        <is>
          <t>§4 statistiques chambres et distances</t>
        </is>
      </c>
      <c r="H458" s="25" t="inlineStr">
        <is>
          <t>moyenne</t>
        </is>
      </c>
    </row>
    <row r="459">
      <c r="A459" s="25" t="inlineStr">
        <is>
          <t>V2A-14</t>
        </is>
      </c>
      <c r="B459" s="8" t="inlineStr">
        <is>
          <t>API Recherche d'entreprises - requête « chateau de mery » : CHATEAU DE MERY (SIREN 479916298, 82.30Z, 20-49 salariés, CA 2024 5 069 906 €, RN -562 515 €), présidée par FONCIERE DE PARIS SIIC</t>
        </is>
      </c>
      <c r="C459" s="25" t="inlineStr">
        <is>
          <t>https://recherche-entreprises.api.gouv.fr/search?q=chateau%20de%20mery&amp;per_page=25</t>
        </is>
      </c>
      <c r="D459" s="25" t="inlineStr">
        <is>
          <t>registre officiel (API data.gouv)</t>
        </is>
      </c>
      <c r="E459" s="25" t="inlineStr">
        <is>
          <t>2026-10-14</t>
        </is>
      </c>
      <c r="F459" s="25" t="inlineStr">
        <is>
          <t>page_lue</t>
        </is>
      </c>
      <c r="G459" s="25" t="inlineStr">
        <is>
          <t>§1 Méry (foncière propriétaire de l'exploitation)</t>
        </is>
      </c>
      <c r="H459" s="25" t="inlineStr">
        <is>
          <t>haute</t>
        </is>
      </c>
    </row>
    <row r="460">
      <c r="A460" s="25" t="inlineStr">
        <is>
          <t>V2A-15</t>
        </is>
      </c>
      <c r="B460" s="8" t="inlineStr">
        <is>
          <t>API Recherche d'entreprises - FONCIERE DE PARIS SIIC (SIREN 331250472), présidée par EUROSIC, siège 16 rue des Capucines</t>
        </is>
      </c>
      <c r="C460" s="25" t="inlineStr">
        <is>
          <t>https://recherche-entreprises.api.gouv.fr/search?q=331250472</t>
        </is>
      </c>
      <c r="D460" s="25" t="inlineStr">
        <is>
          <t>registre officiel (API data.gouv)</t>
        </is>
      </c>
      <c r="E460" s="25" t="inlineStr">
        <is>
          <t>2026-10-14</t>
        </is>
      </c>
      <c r="F460" s="25" t="inlineStr">
        <is>
          <t>page_lue</t>
        </is>
      </c>
      <c r="G460" s="25" t="inlineStr">
        <is>
          <t>§1 Méry</t>
        </is>
      </c>
      <c r="H460" s="25" t="inlineStr">
        <is>
          <t>haute</t>
        </is>
      </c>
    </row>
    <row r="461">
      <c r="A461" s="25" t="inlineStr">
        <is>
          <t>V2A-16</t>
        </is>
      </c>
      <c r="B461" s="8" t="inlineStr">
        <is>
          <t>Résultats WebSearch « Foncière de Paris SIIC centres de séminaires Châteauform' » + 7 dépôts AMF/Eurosic téléchargés (aucune mention des centres de séminaires)</t>
        </is>
      </c>
      <c r="C461" s="25" t="inlineStr">
        <is>
          <t>https://echanges.dila.gouv.fr/OPENDATA/AMF/BWR/2011/02/FCBWR064538_20110210.pdf</t>
        </is>
      </c>
      <c r="D461" s="25" t="inlineStr">
        <is>
          <t>résultats de recherche + PDF officiels</t>
        </is>
      </c>
      <c r="E461" s="25" t="inlineStr">
        <is>
          <t>2026-10-14</t>
        </is>
      </c>
      <c r="F461" s="25" t="inlineStr">
        <is>
          <t>page_lue</t>
        </is>
      </c>
      <c r="G461" s="25" t="inlineStr">
        <is>
          <t>§1 Méry (recherche infructueuse)</t>
        </is>
      </c>
      <c r="H461" s="25" t="inlineStr">
        <is>
          <t>faible</t>
        </is>
      </c>
    </row>
    <row r="462">
      <c r="A462" s="25" t="inlineStr">
        <is>
          <t>V2A-17</t>
        </is>
      </c>
      <c r="B462" s="8" t="inlineStr">
        <is>
          <t>API Recherche d'entreprises - requête « pierres d'histoire » : PIERRES D HISTOIRE (SIREN 523838811, 55.20Z, 3-5 salariés, CA 2025 1 197 864 €, RN 684 764 €)</t>
        </is>
      </c>
      <c r="C462" s="25" t="inlineStr">
        <is>
          <t>https://recherche-entreprises.api.gouv.fr/search?q=pierres%20d%27histoire&amp;per_page=25</t>
        </is>
      </c>
      <c r="D462" s="25" t="inlineStr">
        <is>
          <t>registre officiel (API data.gouv)</t>
        </is>
      </c>
      <c r="E462" s="25" t="inlineStr">
        <is>
          <t>2026-10-14</t>
        </is>
      </c>
      <c r="F462" s="25" t="inlineStr">
        <is>
          <t>page_lue</t>
        </is>
      </c>
      <c r="G462" s="25" t="inlineStr">
        <is>
          <t>§3 Courances</t>
        </is>
      </c>
      <c r="H462" s="25" t="inlineStr">
        <is>
          <t>haute</t>
        </is>
      </c>
    </row>
    <row r="463">
      <c r="A463" s="25" t="inlineStr">
        <is>
          <t>V2A-18</t>
        </is>
      </c>
      <c r="B463" s="8" t="inlineStr">
        <is>
          <t>Pierres d'Histoire, page d'accueil (« collection d'adresses privées », 9 ou 10 domaines « à louer en exclusivité »)</t>
        </is>
      </c>
      <c r="C463" s="25" t="inlineStr">
        <is>
          <t>https://www.pierresdhistoire.com/</t>
        </is>
      </c>
      <c r="D463" s="25" t="inlineStr">
        <is>
          <t>site de l'exploitant</t>
        </is>
      </c>
      <c r="E463" s="25" t="inlineStr">
        <is>
          <t>2026-10-14</t>
        </is>
      </c>
      <c r="F463" s="25" t="inlineStr">
        <is>
          <t>page_lue</t>
        </is>
      </c>
      <c r="G463" s="25" t="inlineStr">
        <is>
          <t>§3 Courances</t>
        </is>
      </c>
      <c r="H463" s="25" t="inlineStr">
        <is>
          <t>moyenne</t>
        </is>
      </c>
    </row>
    <row r="464">
      <c r="A464" s="25" t="inlineStr">
        <is>
          <t>V2A-19</t>
        </is>
      </c>
      <c r="B464" s="8" t="inlineStr">
        <is>
          <t>Pierres d'Histoire, « Notre histoire » (ouverture de Courances en 2015, 10 sites restaurés, 42 maisons, 100 chambres, « en réhabilitant et en exploitant des demeures historiques »)</t>
        </is>
      </c>
      <c r="C464" s="25" t="inlineStr">
        <is>
          <t>https://www.pierresdhistoire.com/notre-histoire</t>
        </is>
      </c>
      <c r="D464" s="25" t="inlineStr">
        <is>
          <t>site de l'exploitant</t>
        </is>
      </c>
      <c r="E464" s="25" t="inlineStr">
        <is>
          <t>2026-10-14</t>
        </is>
      </c>
      <c r="F464" s="25" t="inlineStr">
        <is>
          <t>page_lue</t>
        </is>
      </c>
      <c r="G464" s="25" t="inlineStr">
        <is>
          <t>§3 Courances</t>
        </is>
      </c>
      <c r="H464" s="25" t="inlineStr">
        <is>
          <t>moyenne</t>
        </is>
      </c>
    </row>
    <row r="465">
      <c r="A465" s="25" t="inlineStr">
        <is>
          <t>V2A-20</t>
        </is>
      </c>
      <c r="B465" s="8" t="inlineStr">
        <is>
          <t>Pierres d'Histoire, liste des domaines</t>
        </is>
      </c>
      <c r="C465" s="25" t="inlineStr">
        <is>
          <t>https://www.pierresdhistoire.com/domaines</t>
        </is>
      </c>
      <c r="D465" s="25" t="inlineStr">
        <is>
          <t>site de l'exploitant</t>
        </is>
      </c>
      <c r="E465" s="25" t="inlineStr">
        <is>
          <t>2026-10-14</t>
        </is>
      </c>
      <c r="F465" s="25" t="inlineStr">
        <is>
          <t>page_lue</t>
        </is>
      </c>
      <c r="G465" s="25" t="inlineStr">
        <is>
          <t>§3</t>
        </is>
      </c>
      <c r="H465" s="25" t="inlineStr">
        <is>
          <t>moyenne</t>
        </is>
      </c>
    </row>
    <row r="466">
      <c r="A466" s="25" t="inlineStr">
        <is>
          <t>V2A-21</t>
        </is>
      </c>
      <c r="B466" s="8" t="inlineStr">
        <is>
          <t>Pierres d'Histoire, fiche « Domaine de Courances » (7 maisons, 39 personnes, château privé, « Rénovation du hameau en partenariat avec Pierres d'Histoire en 2015 », prix par nuit)</t>
        </is>
      </c>
      <c r="C466" s="25" t="inlineStr">
        <is>
          <t>https://www.pierresdhistoire.com/domaines/courances</t>
        </is>
      </c>
      <c r="D466" s="25" t="inlineStr">
        <is>
          <t>site de l'exploitant</t>
        </is>
      </c>
      <c r="E466" s="25" t="inlineStr">
        <is>
          <t>2026-10-14</t>
        </is>
      </c>
      <c r="F466" s="25" t="inlineStr">
        <is>
          <t>page_lue</t>
        </is>
      </c>
      <c r="G466" s="25" t="inlineStr">
        <is>
          <t>§3 Courances</t>
        </is>
      </c>
      <c r="H466" s="25" t="inlineStr">
        <is>
          <t>moyenne</t>
        </is>
      </c>
    </row>
    <row r="467">
      <c r="A467" s="25" t="inlineStr">
        <is>
          <t>V2A-22</t>
        </is>
      </c>
      <c r="B467" s="8" t="inlineStr">
        <is>
          <t>API Recherche d'entreprises - requête « esprit de france » (holding ESPRIT DE FRANCE présidée par COMPAGNIE LEBON, une SAS par hôtel parisien)</t>
        </is>
      </c>
      <c r="C467" s="25" t="inlineStr">
        <is>
          <t>https://recherche-entreprises.api.gouv.fr/search?q=esprit%20de%20france&amp;per_page=25</t>
        </is>
      </c>
      <c r="D467" s="25" t="inlineStr">
        <is>
          <t>registre officiel (API data.gouv)</t>
        </is>
      </c>
      <c r="E467" s="25" t="inlineStr">
        <is>
          <t>2026-10-14</t>
        </is>
      </c>
      <c r="F467" s="25" t="inlineStr">
        <is>
          <t>page_lue</t>
        </is>
      </c>
      <c r="G467" s="25" t="inlineStr">
        <is>
          <t>§1 concurrents</t>
        </is>
      </c>
      <c r="H467" s="25" t="inlineStr">
        <is>
          <t>haute</t>
        </is>
      </c>
    </row>
    <row r="468">
      <c r="A468" s="25" t="inlineStr">
        <is>
          <t>V2A-23</t>
        </is>
      </c>
      <c r="B468" s="8" t="inlineStr">
        <is>
          <t>API Recherche d'entreprises - requête « fontenille » + NAF 55.10Z (PRIMARD SAS, FONTENILLE OPPEDE, CHALAMON SAS : comptes déficitaires)</t>
        </is>
      </c>
      <c r="C468" s="25" t="inlineStr">
        <is>
          <t>https://recherche-entreprises.api.gouv.fr/search?q=fontenille&amp;activite_principale=55.10Z&amp;per_page=25</t>
        </is>
      </c>
      <c r="D468" s="25" t="inlineStr">
        <is>
          <t>registre officiel (API data.gouv)</t>
        </is>
      </c>
      <c r="E468" s="25" t="inlineStr">
        <is>
          <t>2026-10-14</t>
        </is>
      </c>
      <c r="F468" s="25" t="inlineStr">
        <is>
          <t>page_lue</t>
        </is>
      </c>
      <c r="G468" s="25" t="inlineStr">
        <is>
          <t>§1 concurrents</t>
        </is>
      </c>
      <c r="H468" s="25" t="inlineStr">
        <is>
          <t>haute</t>
        </is>
      </c>
    </row>
    <row r="469">
      <c r="A469" s="25" t="inlineStr">
        <is>
          <t>V2A-24</t>
        </is>
      </c>
      <c r="B469" s="8" t="inlineStr">
        <is>
          <t>API Recherche d'entreprises - requête « les maisons de campagne » (SAMH LES MAISONS DE CAMPAGNE 2017, siège au château de Villiers-le-Mahieu, présidée par LES HOTELS (TRES) PARTICULIERS)</t>
        </is>
      </c>
      <c r="C469" s="25" t="inlineStr">
        <is>
          <t>https://recherche-entreprises.api.gouv.fr/search?q=les%20maisons%20de%20campagne&amp;per_page=25</t>
        </is>
      </c>
      <c r="D469" s="25" t="inlineStr">
        <is>
          <t>registre officiel (API data.gouv)</t>
        </is>
      </c>
      <c r="E469" s="25" t="inlineStr">
        <is>
          <t>2026-10-14</t>
        </is>
      </c>
      <c r="F469" s="25" t="inlineStr">
        <is>
          <t>page_lue</t>
        </is>
      </c>
      <c r="G469" s="25" t="inlineStr">
        <is>
          <t>§1 concurrents</t>
        </is>
      </c>
      <c r="H469" s="25" t="inlineStr">
        <is>
          <t>haute</t>
        </is>
      </c>
    </row>
    <row r="470">
      <c r="A470" s="25" t="inlineStr">
        <is>
          <t>V2A-25</t>
        </is>
      </c>
      <c r="B470" s="8" t="inlineStr">
        <is>
          <t>API Recherche d'entreprises - requête « millesime » + NAF 82.30Z/55.10Z/55.20Z/68.20B (aucun opérateur de séminaires en château identifiable)</t>
        </is>
      </c>
      <c r="C470" s="25" t="inlineStr">
        <is>
          <t>https://recherche-entreprises.api.gouv.fr/search?q=millesime&amp;activite_principale=82.30Z,55.10Z,55.20Z,68.20B&amp;per_page=25</t>
        </is>
      </c>
      <c r="D470" s="25" t="inlineStr">
        <is>
          <t>registre officiel (API data.gouv)</t>
        </is>
      </c>
      <c r="E470" s="25" t="inlineStr">
        <is>
          <t>2026-10-14</t>
        </is>
      </c>
      <c r="F470" s="25" t="inlineStr">
        <is>
          <t>page_lue</t>
        </is>
      </c>
      <c r="G470" s="25" t="inlineStr">
        <is>
          <t>§1 concurrents</t>
        </is>
      </c>
      <c r="H470" s="25" t="inlineStr">
        <is>
          <t>haute</t>
        </is>
      </c>
    </row>
    <row r="471">
      <c r="A471" s="25" t="inlineStr">
        <is>
          <t>V2A-26</t>
        </is>
      </c>
      <c r="B471" s="8" t="inlineStr">
        <is>
          <t>API Recherche d'entreprises - LES HOTELS (TRES) PARTICULIERS (SIREN 820234904, 2025 : CA 2 558 733 €, RN -127 477 €)</t>
        </is>
      </c>
      <c r="C471" s="25" t="inlineStr">
        <is>
          <t>https://recherche-entreprises.api.gouv.fr/search?q=820234904</t>
        </is>
      </c>
      <c r="D471" s="25" t="inlineStr">
        <is>
          <t>registre officiel (API data.gouv)</t>
        </is>
      </c>
      <c r="E471" s="25" t="inlineStr">
        <is>
          <t>2026-10-14</t>
        </is>
      </c>
      <c r="F471" s="25" t="inlineStr">
        <is>
          <t>page_lue</t>
        </is>
      </c>
      <c r="G471" s="25" t="inlineStr">
        <is>
          <t>§1 concurrents</t>
        </is>
      </c>
      <c r="H471" s="25" t="inlineStr">
        <is>
          <t>haute</t>
        </is>
      </c>
    </row>
    <row r="472">
      <c r="A472" s="25" t="inlineStr">
        <is>
          <t>V2A-27</t>
        </is>
      </c>
      <c r="B472" s="8" t="inlineStr">
        <is>
          <t>API Recherche d'entreprises - requête « villiers-le-mahieu » (CHATEAU DE VILLIERS LE MAHIEU, SH VILLIERS-LE-MAHIEU, SCI DU TOURINIER au château, sociétés hôtelières du même groupe)</t>
        </is>
      </c>
      <c r="C472" s="25" t="inlineStr">
        <is>
          <t>https://recherche-entreprises.api.gouv.fr/search?q=villiers-le-mahieu&amp;activite_principale=55.10Z,82.30Z,68.20B,64.20Z,68.10Z&amp;per_page=25</t>
        </is>
      </c>
      <c r="D472" s="25" t="inlineStr">
        <is>
          <t>registre officiel (API data.gouv)</t>
        </is>
      </c>
      <c r="E472" s="25" t="inlineStr">
        <is>
          <t>2026-10-14</t>
        </is>
      </c>
      <c r="F472" s="25" t="inlineStr">
        <is>
          <t>page_lue</t>
        </is>
      </c>
      <c r="G472" s="25" t="inlineStr">
        <is>
          <t>§1 concurrents (propriétaire-exploitant)</t>
        </is>
      </c>
      <c r="H472" s="25" t="inlineStr">
        <is>
          <t>haute</t>
        </is>
      </c>
    </row>
    <row r="473">
      <c r="A473" s="25" t="inlineStr">
        <is>
          <t>V2A-28</t>
        </is>
      </c>
      <c r="B473" s="8" t="inlineStr">
        <is>
          <t>Résultats WebSearch « méthode hôtelière loyer renouvellement... » (CA Caen 9 oct. 2025 : taux sur recette 13 % demandé par une partie, abattements 15 % et 20 %)</t>
        </is>
      </c>
      <c r="C473" s="25" t="inlineStr">
        <is>
          <t>https://www.doctrine.fr/d/CA/Caen/2025/CAPE3D548D7FFAC738EB4DA</t>
        </is>
      </c>
      <c r="D473" s="25" t="inlineStr">
        <is>
          <t>résultats de recherche (jurisprudence, extraits, page Doctrine non accessible)</t>
        </is>
      </c>
      <c r="E473" s="25" t="inlineStr">
        <is>
          <t>2026-10-14</t>
        </is>
      </c>
      <c r="F473" s="25" t="inlineStr">
        <is>
          <t>extrait</t>
        </is>
      </c>
      <c r="G473" s="25" t="inlineStr">
        <is>
          <t>§2 comparables</t>
        </is>
      </c>
      <c r="H473" s="25" t="inlineStr">
        <is>
          <t>faible</t>
        </is>
      </c>
    </row>
    <row r="474">
      <c r="A474" s="25" t="inlineStr">
        <is>
          <t>V2A-29</t>
        </is>
      </c>
      <c r="B474" s="8" t="inlineStr">
        <is>
          <t>La Grande Bibliothèque du Droit, « Baux hôteliers (fr) » : compte rendu (A.-L. Lonné-Clément, Lexbase) de la réunion du 13/12/2011 de la commission de droit immobilier du barreau de Paris</t>
        </is>
      </c>
      <c r="C474" s="25" t="inlineStr">
        <is>
          <t>https://lagbd.org/Baux_h%C3%B4teliers_(fr)</t>
        </is>
      </c>
      <c r="D474" s="25" t="inlineStr">
        <is>
          <t>doctrine juridique (compte rendu)</t>
        </is>
      </c>
      <c r="E474" s="25" t="inlineStr">
        <is>
          <t>2026-10-14</t>
        </is>
      </c>
      <c r="F474" s="25" t="inlineStr">
        <is>
          <t>page_lue</t>
        </is>
      </c>
      <c r="G474" s="25" t="inlineStr">
        <is>
          <t>§2 et §5 loyers en % du CA, monovalence, méthode hôtelière</t>
        </is>
      </c>
      <c r="H474" s="25" t="inlineStr">
        <is>
          <t>moyenne</t>
        </is>
      </c>
    </row>
    <row r="475">
      <c r="A475" s="25" t="inlineStr">
        <is>
          <t>V2A-30</t>
        </is>
      </c>
      <c r="B475" s="8" t="inlineStr">
        <is>
          <t>Kohen Avocats, commentaire de TJ Marseille, juge des loyers commerciaux, 7 avril 2026, RG 20/11618 (hôtel : loyer renouvelé fixé à 72 000 €/an, méthode hôtelière actualisée)</t>
        </is>
      </c>
      <c r="C475" s="25" t="inlineStr">
        <is>
          <t>https://kohenavocats.com/tribunal-judiciaire-de-marseille-le-7-avril-2026-n20-11618/</t>
        </is>
      </c>
      <c r="D475" s="25" t="inlineStr">
        <is>
          <t>commentaire d'avocat sur décision de justice</t>
        </is>
      </c>
      <c r="E475" s="25" t="inlineStr">
        <is>
          <t>2026-10-14</t>
        </is>
      </c>
      <c r="F475" s="25" t="inlineStr">
        <is>
          <t>page_lue</t>
        </is>
      </c>
      <c r="G475" s="25" t="inlineStr">
        <is>
          <t>§2 et §5</t>
        </is>
      </c>
      <c r="H475" s="25" t="inlineStr">
        <is>
          <t>moyenne</t>
        </is>
      </c>
    </row>
    <row r="476">
      <c r="A476" s="25" t="inlineStr">
        <is>
          <t>V2A-31</t>
        </is>
      </c>
      <c r="B476" s="8" t="inlineStr">
        <is>
          <t>Covivio Hotels, communiqué résultats semestriels 2020 (15/07/2020, dépôt AMF) : loyers variables -67 %, clause de sous-performance IHG, taux de couverture des loyers 1,8x fin 2019</t>
        </is>
      </c>
      <c r="C476" s="25" t="inlineStr">
        <is>
          <t>https://echanges.dila.gouv.fr/OPENDATA/AMF/ECO/2020/07/FCECO055802_20200715.pdf</t>
        </is>
      </c>
      <c r="D476" s="25" t="inlineStr">
        <is>
          <t>rapport financier d'une foncière cotée (PDF, pdftotext)</t>
        </is>
      </c>
      <c r="E476" s="25" t="inlineStr">
        <is>
          <t>2026-10-14</t>
        </is>
      </c>
      <c r="F476" s="25" t="inlineStr">
        <is>
          <t>page_lue</t>
        </is>
      </c>
      <c r="G476" s="25" t="inlineStr">
        <is>
          <t>§2 et §5 risques</t>
        </is>
      </c>
      <c r="H476" s="25" t="inlineStr">
        <is>
          <t>haute</t>
        </is>
      </c>
    </row>
    <row r="477">
      <c r="A477" s="25" t="inlineStr">
        <is>
          <t>V2A-32</t>
        </is>
      </c>
      <c r="B477" s="8" t="inlineStr">
        <is>
          <t>Covivio, communiqué résultats annuels 2023 (15/02/2024, dépôt AMF) : 54 hôtels loués à AccorInvest « en loyer variable sur chiffre d'affaires », fonds de commerce valorisés « au rendement de 12% », répartition fixe 60 % / variable 17 % / EBITDA 23 %</t>
        </is>
      </c>
      <c r="C477" s="25" t="inlineStr">
        <is>
          <t>https://echanges.dila.gouv.fr/OPENDATA/AMF/ECO/2024/02/FCECO073798_20240215.pdf</t>
        </is>
      </c>
      <c r="D477" s="25" t="inlineStr">
        <is>
          <t>rapport financier d'une foncière cotée (PDF, pdftotext)</t>
        </is>
      </c>
      <c r="E477" s="25" t="inlineStr">
        <is>
          <t>2026-10-14</t>
        </is>
      </c>
      <c r="F477" s="25" t="inlineStr">
        <is>
          <t>page_lue</t>
        </is>
      </c>
      <c r="G477" s="25" t="inlineStr">
        <is>
          <t>§2 comparables</t>
        </is>
      </c>
      <c r="H477" s="25" t="inlineStr">
        <is>
          <t>haute</t>
        </is>
      </c>
    </row>
    <row r="478">
      <c r="A478" s="25" t="inlineStr">
        <is>
          <t>V2A-33</t>
        </is>
      </c>
      <c r="B478" s="8" t="inlineStr">
        <is>
          <t>Covivio, communiqué du 07/11/2023 (négociations AccorInvest, part de loyers variables 20 % passant à 7 %)</t>
        </is>
      </c>
      <c r="C478" s="25" t="inlineStr">
        <is>
          <t>https://echanges.dila.gouv.fr/OPENDATA/AMF/ECO/2023/11/FCECO072950_20231107.pdf</t>
        </is>
      </c>
      <c r="D478" s="25" t="inlineStr">
        <is>
          <t>communiqué d'une foncière cotée (PDF)</t>
        </is>
      </c>
      <c r="E478" s="25" t="inlineStr">
        <is>
          <t>2026-10-14</t>
        </is>
      </c>
      <c r="F478" s="25" t="inlineStr">
        <is>
          <t>page_lue</t>
        </is>
      </c>
      <c r="G478" s="25" t="inlineStr">
        <is>
          <t>§2 comparables</t>
        </is>
      </c>
      <c r="H478" s="25" t="inlineStr">
        <is>
          <t>haute</t>
        </is>
      </c>
    </row>
    <row r="479">
      <c r="A479" s="25" t="inlineStr">
        <is>
          <t>V2A-34</t>
        </is>
      </c>
      <c r="B479" s="8" t="inlineStr">
        <is>
          <t>Résultats WebSearch « Grand Contrôle Versailles Airelles redevance... » (aucune donnée de redevance trouvée)</t>
        </is>
      </c>
      <c r="C479" s="25" t="inlineStr">
        <is>
          <t>https://en.versailles-tourisme.com/airelles-chateau-de-versailles-le-grand-controle.html</t>
        </is>
      </c>
      <c r="D479" s="25" t="inlineStr">
        <is>
          <t>résultats de recherche</t>
        </is>
      </c>
      <c r="E479" s="25" t="inlineStr">
        <is>
          <t>2026-10-14</t>
        </is>
      </c>
      <c r="F479" s="25" t="inlineStr">
        <is>
          <t>extrait</t>
        </is>
      </c>
      <c r="G479" s="25" t="inlineStr">
        <is>
          <t>§2 (recherche infructueuse)</t>
        </is>
      </c>
      <c r="H479" s="25" t="inlineStr">
        <is>
          <t>faible</t>
        </is>
      </c>
    </row>
    <row r="480">
      <c r="A480" s="25" t="inlineStr">
        <is>
          <t>V2A-35</t>
        </is>
      </c>
      <c r="B480" s="8" t="inlineStr">
        <is>
          <t>Service Public Entreprendre, « Contrat de bail commercial » (F23927), vérifié le 28/05/2025</t>
        </is>
      </c>
      <c r="C480" s="25" t="inlineStr">
        <is>
          <t>https://entreprendre.service-public.gouv.fr/vosdroits/F23927</t>
        </is>
      </c>
      <c r="D480" s="25" t="inlineStr">
        <is>
          <t>site officiel (DILA)</t>
        </is>
      </c>
      <c r="E480" s="25" t="inlineStr">
        <is>
          <t>2026-10-14</t>
        </is>
      </c>
      <c r="F480" s="25" t="inlineStr">
        <is>
          <t>page_lue</t>
        </is>
      </c>
      <c r="G480" s="25" t="inlineStr">
        <is>
          <t>§5 cadre juridique</t>
        </is>
      </c>
      <c r="H480" s="25" t="inlineStr">
        <is>
          <t>haute</t>
        </is>
      </c>
    </row>
    <row r="481">
      <c r="A481" s="25" t="inlineStr">
        <is>
          <t>V2A-36</t>
        </is>
      </c>
      <c r="B481" s="8" t="inlineStr">
        <is>
          <t>Service Public Entreprendre, « Comment est évaluée l'indemnité d'éviction d'un bail commercial ? » (F32783), vérifié le 16/04/2025</t>
        </is>
      </c>
      <c r="C481" s="25" t="inlineStr">
        <is>
          <t>https://entreprendre.service-public.gouv.fr/vosdroits/F32783</t>
        </is>
      </c>
      <c r="D481" s="25" t="inlineStr">
        <is>
          <t>site officiel (DILA)</t>
        </is>
      </c>
      <c r="E481" s="25" t="inlineStr">
        <is>
          <t>2026-10-14</t>
        </is>
      </c>
      <c r="F481" s="25" t="inlineStr">
        <is>
          <t>page_lue</t>
        </is>
      </c>
      <c r="G481" s="25" t="inlineStr">
        <is>
          <t>§5 indemnité d'éviction</t>
        </is>
      </c>
      <c r="H481" s="25" t="inlineStr">
        <is>
          <t>haute</t>
        </is>
      </c>
    </row>
    <row r="482">
      <c r="A482" s="25" t="inlineStr">
        <is>
          <t>V2A-37</t>
        </is>
      </c>
      <c r="B482" s="8" t="inlineStr">
        <is>
          <t>Service Public Entreprendre, « Loyer du bail commercial » (F31925), vérifié le 28/05/2026 (clause recettes, loyer minimum garanti, révision, lissage 10 %)</t>
        </is>
      </c>
      <c r="C482" s="25" t="inlineStr">
        <is>
          <t>https://entreprendre.service-public.gouv.fr/vosdroits/F31925</t>
        </is>
      </c>
      <c r="D482" s="25" t="inlineStr">
        <is>
          <t>site officiel (DILA)</t>
        </is>
      </c>
      <c r="E482" s="25" t="inlineStr">
        <is>
          <t>2026-10-14</t>
        </is>
      </c>
      <c r="F482" s="25" t="inlineStr">
        <is>
          <t>page_lue</t>
        </is>
      </c>
      <c r="G482" s="25" t="inlineStr">
        <is>
          <t>§5 loyer</t>
        </is>
      </c>
      <c r="H482" s="25" t="inlineStr">
        <is>
          <t>haute</t>
        </is>
      </c>
    </row>
    <row r="483">
      <c r="A483" s="25" t="inlineStr">
        <is>
          <t>V2A-38</t>
        </is>
      </c>
      <c r="B483" s="8" t="inlineStr">
        <is>
          <t>Service Public Entreprendre, « Bail commercial : charges et dépenses du locataire et du bailleur » (F32336), vérifié le 29/05/2026</t>
        </is>
      </c>
      <c r="C483" s="25" t="inlineStr">
        <is>
          <t>https://entreprendre.service-public.gouv.fr/vosdroits/F32336</t>
        </is>
      </c>
      <c r="D483" s="25" t="inlineStr">
        <is>
          <t>site officiel (DILA)</t>
        </is>
      </c>
      <c r="E483" s="25" t="inlineStr">
        <is>
          <t>2026-10-14</t>
        </is>
      </c>
      <c r="F483" s="25" t="inlineStr">
        <is>
          <t>page_lue</t>
        </is>
      </c>
      <c r="G483" s="25" t="inlineStr">
        <is>
          <t>§5 travaux (grosses réparations à la charge du bailleur)</t>
        </is>
      </c>
      <c r="H483" s="25" t="inlineStr">
        <is>
          <t>haute</t>
        </is>
      </c>
    </row>
    <row r="484">
      <c r="A484" s="25" t="inlineStr">
        <is>
          <t>V2A-39</t>
        </is>
      </c>
      <c r="B484" s="8" t="inlineStr">
        <is>
          <t>Service Public Entreprendre, « Que devient le bail commercial lorsque le locataire est en procédure collective ? » (F36624), vérifié le 17/07/2026</t>
        </is>
      </c>
      <c r="C484" s="25" t="inlineStr">
        <is>
          <t>https://entreprendre.service-public.gouv.fr/vosdroits/F36624</t>
        </is>
      </c>
      <c r="D484" s="25" t="inlineStr">
        <is>
          <t>site officiel (DILA)</t>
        </is>
      </c>
      <c r="E484" s="25" t="inlineStr">
        <is>
          <t>2026-10-14</t>
        </is>
      </c>
      <c r="F484" s="25" t="inlineStr">
        <is>
          <t>page_lue</t>
        </is>
      </c>
      <c r="G484" s="25" t="inlineStr">
        <is>
          <t>§5 défaillance de l'exploitant</t>
        </is>
      </c>
      <c r="H484" s="25" t="inlineStr">
        <is>
          <t>haute</t>
        </is>
      </c>
    </row>
    <row r="485">
      <c r="A485" s="25" t="inlineStr">
        <is>
          <t>V2A-40</t>
        </is>
      </c>
      <c r="B485" s="8" t="inlineStr">
        <is>
          <t>Service Public Entreprendre, « Bail dérogatoire (ou bail de courte durée) » (F32304), vérifié le 09/06/2026</t>
        </is>
      </c>
      <c r="C485" s="25" t="inlineStr">
        <is>
          <t>https://entreprendre.service-public.gouv.fr/vosdroits/F32304</t>
        </is>
      </c>
      <c r="D485" s="25" t="inlineStr">
        <is>
          <t>site officiel (DILA)</t>
        </is>
      </c>
      <c r="E485" s="25" t="inlineStr">
        <is>
          <t>2026-10-14</t>
        </is>
      </c>
      <c r="F485" s="25" t="inlineStr">
        <is>
          <t>page_lue</t>
        </is>
      </c>
      <c r="G485" s="25" t="inlineStr">
        <is>
          <t>§5 alternatives</t>
        </is>
      </c>
      <c r="H485" s="25" t="inlineStr">
        <is>
          <t>haute</t>
        </is>
      </c>
    </row>
    <row r="486">
      <c r="A486" s="25" t="inlineStr">
        <is>
          <t>V2A-41</t>
        </is>
      </c>
      <c r="B486" s="8" t="inlineStr">
        <is>
          <t>Service Public Entreprendre, « Renouvellement ou prolongation tacite du bail commercial » (F22854), vérifié le 10/10/2025 (9 ans minimum, plafonnement, déplafonnement si bail &gt; 9 ans ou &gt; 12 ans tacite)</t>
        </is>
      </c>
      <c r="C486" s="25" t="inlineStr">
        <is>
          <t>https://entreprendre.service-public.gouv.fr/vosdroits/F22854</t>
        </is>
      </c>
      <c r="D486" s="25" t="inlineStr">
        <is>
          <t>site officiel (DILA)</t>
        </is>
      </c>
      <c r="E486" s="25" t="inlineStr">
        <is>
          <t>2026-10-14</t>
        </is>
      </c>
      <c r="F486" s="25" t="inlineStr">
        <is>
          <t>page_lue</t>
        </is>
      </c>
      <c r="G486" s="25" t="inlineStr">
        <is>
          <t>§5 renouvellement</t>
        </is>
      </c>
      <c r="H486" s="25" t="inlineStr">
        <is>
          <t>haute</t>
        </is>
      </c>
    </row>
    <row r="487">
      <c r="A487" s="25" t="inlineStr">
        <is>
          <t>V2A-42</t>
        </is>
      </c>
      <c r="B487" s="8" t="inlineStr">
        <is>
          <t>Service Public Entreprendre, dossier « Bail commercial » (N31379) et recherche interne</t>
        </is>
      </c>
      <c r="C487" s="25" t="inlineStr">
        <is>
          <t>https://entreprendre.service-public.gouv.fr/vosdroits/N31379</t>
        </is>
      </c>
      <c r="D487" s="25" t="inlineStr">
        <is>
          <t>site officiel (DILA)</t>
        </is>
      </c>
      <c r="E487" s="25" t="inlineStr">
        <is>
          <t>2026-10-14</t>
        </is>
      </c>
      <c r="F487" s="25" t="inlineStr">
        <is>
          <t>page_lue</t>
        </is>
      </c>
      <c r="G487" s="25" t="inlineStr">
        <is>
          <t>§5</t>
        </is>
      </c>
      <c r="H487" s="25" t="inlineStr">
        <is>
          <t>haute</t>
        </is>
      </c>
    </row>
    <row r="488">
      <c r="A488" s="25" t="inlineStr">
        <is>
          <t>V2A-43</t>
        </is>
      </c>
      <c r="B488" s="8" t="inlineStr">
        <is>
          <t>Service Public Entreprendre, « Résilier un bail commercial » (F31707), vérifié le 28/05/2026 (résiliation triennale et exclusions, reprise par le bailleur, clause résolutoire)</t>
        </is>
      </c>
      <c r="C488" s="25" t="inlineStr">
        <is>
          <t>https://entreprendre.service-public.gouv.fr/vosdroits/F31707</t>
        </is>
      </c>
      <c r="D488" s="25" t="inlineStr">
        <is>
          <t>site officiel (DILA)</t>
        </is>
      </c>
      <c r="E488" s="25" t="inlineStr">
        <is>
          <t>2026-10-14</t>
        </is>
      </c>
      <c r="F488" s="25" t="inlineStr">
        <is>
          <t>page_lue</t>
        </is>
      </c>
      <c r="G488" s="25" t="inlineStr">
        <is>
          <t>§5</t>
        </is>
      </c>
      <c r="H488" s="25" t="inlineStr">
        <is>
          <t>haute</t>
        </is>
      </c>
    </row>
    <row r="489">
      <c r="A489" s="25" t="inlineStr">
        <is>
          <t>V2A-44</t>
        </is>
      </c>
      <c r="B489" s="8" t="inlineStr">
        <is>
          <t>Service Public Entreprendre, « En cas de vente d'un local commercial, le locataire est-il prioritaire pour le racheter ? » (F32253), vérifié le 28/05/2026</t>
        </is>
      </c>
      <c r="C489" s="25" t="inlineStr">
        <is>
          <t>https://entreprendre.service-public.gouv.fr/vosdroits/F32253</t>
        </is>
      </c>
      <c r="D489" s="25" t="inlineStr">
        <is>
          <t>site officiel (DILA)</t>
        </is>
      </c>
      <c r="E489" s="25" t="inlineStr">
        <is>
          <t>2026-10-14</t>
        </is>
      </c>
      <c r="F489" s="25" t="inlineStr">
        <is>
          <t>page_lue</t>
        </is>
      </c>
      <c r="G489" s="25" t="inlineStr">
        <is>
          <t>§5 droit de préférence</t>
        </is>
      </c>
      <c r="H489" s="25" t="inlineStr">
        <is>
          <t>haute</t>
        </is>
      </c>
    </row>
    <row r="490">
      <c r="A490" s="25" t="inlineStr">
        <is>
          <t>V2A-45</t>
        </is>
      </c>
      <c r="B490" s="8" t="inlineStr">
        <is>
          <t>Service Public Entreprendre, « Location-gérance d'un fonds de commerce » (F23573), vérifié le 28/08/2026</t>
        </is>
      </c>
      <c r="C490" s="25" t="inlineStr">
        <is>
          <t>https://entreprendre.service-public.gouv.fr/vosdroits/F23573</t>
        </is>
      </c>
      <c r="D490" s="25" t="inlineStr">
        <is>
          <t>site officiel (DILA)</t>
        </is>
      </c>
      <c r="E490" s="25" t="inlineStr">
        <is>
          <t>2026-10-14</t>
        </is>
      </c>
      <c r="F490" s="25" t="inlineStr">
        <is>
          <t>page_lue</t>
        </is>
      </c>
      <c r="G490" s="25" t="inlineStr">
        <is>
          <t>§5 alternative (location-gérance)</t>
        </is>
      </c>
      <c r="H490" s="25" t="inlineStr">
        <is>
          <t>haute</t>
        </is>
      </c>
    </row>
    <row r="491">
      <c r="A491" s="25" t="inlineStr">
        <is>
          <t>V2A-46</t>
        </is>
      </c>
      <c r="B491" s="8" t="inlineStr">
        <is>
          <t>Résultats WebSearch « Pierres d'Histoire Dominique Imbert Courances... » (Hospitality ON : « Pierres d'Histoire est une société d'exploitation pure. Nous ne sommes pas propriétaires des sites. », page en 403 / anti-robot)</t>
        </is>
      </c>
      <c r="C491" s="25" t="inlineStr">
        <is>
          <t>https://hospitality-on.com/fr/location-meublee/dominique-imbert-pierres-dhistoire-nous-sauvons-durablement-le-patrimoine-en-en</t>
        </is>
      </c>
      <c r="D491" s="25" t="inlineStr">
        <is>
          <t>presse professionnelle (extrait)</t>
        </is>
      </c>
      <c r="E491" s="25" t="inlineStr">
        <is>
          <t>2026-10-14</t>
        </is>
      </c>
      <c r="F491" s="25" t="inlineStr">
        <is>
          <t>extrait</t>
        </is>
      </c>
      <c r="G491" s="25" t="inlineStr">
        <is>
          <t>§3 Courances</t>
        </is>
      </c>
      <c r="H491" s="25" t="inlineStr">
        <is>
          <t>moyenne</t>
        </is>
      </c>
    </row>
    <row r="492">
      <c r="A492" s="25" t="inlineStr">
        <is>
          <t>V2A-47</t>
        </is>
      </c>
      <c r="B492" s="8" t="inlineStr">
        <is>
          <t>Presseagence.fr, « Richebourg - Pierres d'Histoire : une restauration respectueuse et minutieuse » (02/05/2025)</t>
        </is>
      </c>
      <c r="C492" s="25" t="inlineStr">
        <is>
          <t>https://presseagence.fr/richebourg-pierres-dhistoire-une-restauration-respectueuse-et-minutieuse/</t>
        </is>
      </c>
      <c r="D492" s="25" t="inlineStr">
        <is>
          <t>presse locale</t>
        </is>
      </c>
      <c r="E492" s="25" t="inlineStr">
        <is>
          <t>2026-10-14</t>
        </is>
      </c>
      <c r="F492" s="25" t="inlineStr">
        <is>
          <t>page_lue</t>
        </is>
      </c>
      <c r="G492" s="25" t="inlineStr">
        <is>
          <t>§3</t>
        </is>
      </c>
      <c r="H492" s="25" t="inlineStr">
        <is>
          <t>faible</t>
        </is>
      </c>
    </row>
    <row r="493">
      <c r="A493" s="25" t="inlineStr">
        <is>
          <t>V2A-48</t>
        </is>
      </c>
      <c r="B493" s="8" t="inlineStr">
        <is>
          <t>Paris Zigzag, séjours Pierres d'Histoire (Courances, Régie, Hameau, château de Fleury), modifié le 14/06/2021</t>
        </is>
      </c>
      <c r="C493" s="25" t="inlineStr">
        <is>
          <t>https://www.pariszigzag.fr/?p=127459</t>
        </is>
      </c>
      <c r="D493" s="25" t="inlineStr">
        <is>
          <t>presse (loisirs)</t>
        </is>
      </c>
      <c r="E493" s="25" t="inlineStr">
        <is>
          <t>2026-10-14</t>
        </is>
      </c>
      <c r="F493" s="25" t="inlineStr">
        <is>
          <t>page_lue</t>
        </is>
      </c>
      <c r="G493" s="25" t="inlineStr">
        <is>
          <t>§3</t>
        </is>
      </c>
      <c r="H493" s="25" t="inlineStr">
        <is>
          <t>faible</t>
        </is>
      </c>
    </row>
    <row r="494">
      <c r="A494" s="25" t="inlineStr">
        <is>
          <t>V2A-49</t>
        </is>
      </c>
      <c r="B494" s="8" t="inlineStr">
        <is>
          <t>API Recherche d'entreprises - requête « chateau » + code postal 78730 (SA TAKEI, 68.20B, siège au château de Rochefort, établissement Chateauform' ouvert en 2008)</t>
        </is>
      </c>
      <c r="C494" s="25" t="inlineStr">
        <is>
          <t>https://recherche-entreprises.api.gouv.fr/search?q=chateau&amp;code_postal=78730&amp;activite_principale=68.20A,68.20B,68.10Z,64.20Z,55.10Z,82.30Z&amp;per_page=25</t>
        </is>
      </c>
      <c r="D494" s="25" t="inlineStr">
        <is>
          <t>registre officiel (API data.gouv)</t>
        </is>
      </c>
      <c r="E494" s="25" t="inlineStr">
        <is>
          <t>2026-10-14</t>
        </is>
      </c>
      <c r="F494" s="25" t="inlineStr">
        <is>
          <t>page_lue</t>
        </is>
      </c>
      <c r="G494" s="25" t="inlineStr">
        <is>
          <t>§1 Rochefort</t>
        </is>
      </c>
      <c r="H494" s="25" t="inlineStr">
        <is>
          <t>haute</t>
        </is>
      </c>
    </row>
    <row r="495">
      <c r="A495" s="25" t="inlineStr">
        <is>
          <t>V2A-50</t>
        </is>
      </c>
      <c r="B495" s="8" t="inlineStr">
        <is>
          <t>API Recherche d'entreprises - requête « royaumont » (établissement Chateauform' au palais abbatial depuis 2012, TRUST ANAVIM, 68.20B, siège New York, établissement « Domaine Royaumont »)</t>
        </is>
      </c>
      <c r="C495" s="25" t="inlineStr">
        <is>
          <t>https://recherche-entreprises.api.gouv.fr/search?q=royaumont&amp;activite_principale=68.20A,68.20B,68.10Z,64.20Z,55.10Z,82.30Z,94.99Z&amp;per_page=25</t>
        </is>
      </c>
      <c r="D495" s="25" t="inlineStr">
        <is>
          <t>registre officiel (API data.gouv)</t>
        </is>
      </c>
      <c r="E495" s="25" t="inlineStr">
        <is>
          <t>2026-10-14</t>
        </is>
      </c>
      <c r="F495" s="25" t="inlineStr">
        <is>
          <t>page_lue</t>
        </is>
      </c>
      <c r="G495" s="25" t="inlineStr">
        <is>
          <t>§1 Royaumont</t>
        </is>
      </c>
      <c r="H495" s="25" t="inlineStr">
        <is>
          <t>haute</t>
        </is>
      </c>
    </row>
    <row r="496">
      <c r="A496" s="25" t="inlineStr">
        <is>
          <t>V2A-51</t>
        </is>
      </c>
      <c r="B496" s="8" t="inlineStr">
        <is>
          <t>API Recherche d'entreprises - requête « chateau » + code postal 78490 (établissements Chateauform' aux Mesnuls, Mareil-le-Guyon, Tremblay, anciennes sociétés hôtelières fermées en 2009 et 2014)</t>
        </is>
      </c>
      <c r="C496" s="25" t="inlineStr">
        <is>
          <t>https://recherche-entreprises.api.gouv.fr/search?q=chateau&amp;code_postal=78490&amp;activite_principale=68.20A,68.20B,68.10Z,64.20Z,55.10Z,82.30Z&amp;per_page=25</t>
        </is>
      </c>
      <c r="D496" s="25" t="inlineStr">
        <is>
          <t>registre officiel (API data.gouv)</t>
        </is>
      </c>
      <c r="E496" s="25" t="inlineStr">
        <is>
          <t>2026-10-14</t>
        </is>
      </c>
      <c r="F496" s="25" t="inlineStr">
        <is>
          <t>page_lue</t>
        </is>
      </c>
      <c r="G496" s="25" t="inlineStr">
        <is>
          <t>§1 et §8 rotation des exploitants</t>
        </is>
      </c>
      <c r="H496" s="25" t="inlineStr">
        <is>
          <t>haute</t>
        </is>
      </c>
    </row>
    <row r="497">
      <c r="A497" s="25" t="inlineStr">
        <is>
          <t>V2A-52</t>
        </is>
      </c>
      <c r="B497" s="8" t="inlineStr">
        <is>
          <t>API Recherche d'entreprises - requête « herces » (établissement Chateauform' ouvert en 2021, ancienne société hôtelière BERCHERES ET HERCES fermée)</t>
        </is>
      </c>
      <c r="C497" s="25" t="inlineStr">
        <is>
          <t>https://recherche-entreprises.api.gouv.fr/search?q=herces&amp;per_page=25</t>
        </is>
      </c>
      <c r="D497" s="25" t="inlineStr">
        <is>
          <t>registre officiel (API data.gouv)</t>
        </is>
      </c>
      <c r="E497" s="25" t="inlineStr">
        <is>
          <t>2026-10-14</t>
        </is>
      </c>
      <c r="F497" s="25" t="inlineStr">
        <is>
          <t>page_lue</t>
        </is>
      </c>
      <c r="G497" s="25" t="inlineStr">
        <is>
          <t>§1 et §8</t>
        </is>
      </c>
      <c r="H497" s="25" t="inlineStr">
        <is>
          <t>haute</t>
        </is>
      </c>
    </row>
    <row r="498">
      <c r="A498" s="25" t="inlineStr">
        <is>
          <t>V2A-53</t>
        </is>
      </c>
      <c r="B498" s="8" t="inlineStr">
        <is>
          <t>API Recherche d'entreprises - requête « chateau » + code postal 77600 (établissement Chateauform' au château de Guermantes depuis 2010, 65 établissements dont 54 ouverts)</t>
        </is>
      </c>
      <c r="C498" s="25" t="inlineStr">
        <is>
          <t>https://recherche-entreprises.api.gouv.fr/search?q=chateau&amp;code_postal=77600&amp;activite_principale=68.20A,68.20B,68.10Z,64.20Z,55.10Z,82.30Z&amp;per_page=25</t>
        </is>
      </c>
      <c r="D498" s="25" t="inlineStr">
        <is>
          <t>registre officiel (API data.gouv)</t>
        </is>
      </c>
      <c r="E498" s="25" t="inlineStr">
        <is>
          <t>2026-10-14</t>
        </is>
      </c>
      <c r="F498" s="25" t="inlineStr">
        <is>
          <t>page_lue</t>
        </is>
      </c>
      <c r="G498" s="25" t="inlineStr">
        <is>
          <t>§1</t>
        </is>
      </c>
      <c r="H498" s="25" t="inlineStr">
        <is>
          <t>haute</t>
        </is>
      </c>
    </row>
    <row r="499">
      <c r="A499" s="25" t="inlineStr">
        <is>
          <t>V2A-54</t>
        </is>
      </c>
      <c r="B499" s="8" t="inlineStr">
        <is>
          <t>Voyages d'Affaires, entretien avec Benjamin Abittan (Châteauform'), « Je serai prudent en 2025 », 06/01/2025 (concession de 5 ans de l'Institut de France, « 15 ou 30 ans », critères gare, maisons de 60 à 160 chambres, Bail Engagé Climat avec Icade)</t>
        </is>
      </c>
      <c r="C499" s="25" t="inlineStr">
        <is>
          <t>https://www.voyages-d-affaires.com/?p=188143</t>
        </is>
      </c>
      <c r="D499" s="25" t="inlineStr">
        <is>
          <t>presse professionnelle (déjà lue par R7, [R7-25])</t>
        </is>
      </c>
      <c r="E499" s="25" t="inlineStr">
        <is>
          <t>2026-10-14</t>
        </is>
      </c>
      <c r="F499" s="25" t="inlineStr">
        <is>
          <t>page_lue</t>
        </is>
      </c>
      <c r="G499" s="25" t="inlineStr">
        <is>
          <t>§1 et §4</t>
        </is>
      </c>
      <c r="H499" s="25" t="inlineStr">
        <is>
          <t>moyenne</t>
        </is>
      </c>
    </row>
    <row r="500">
      <c r="A500" s="25" t="inlineStr">
        <is>
          <t>V2A-55</t>
        </is>
      </c>
      <c r="B500" s="8" t="inlineStr">
        <is>
          <t>TourMaG, « Séminaires : l'Europe du Sud dans le viseur de Châteauform' », 23/03/2022 (Marseille : « pas moins de 51 chambres », aucun élément sur la propriété des murs)</t>
        </is>
      </c>
      <c r="C500" s="25" t="inlineStr">
        <is>
          <t>https://www.tourmag.com/Seminaires-l-Europe-du-Sud-dans-le-viseur-de-Chateauform_a113108.html</t>
        </is>
      </c>
      <c r="D500" s="25" t="inlineStr">
        <is>
          <t>presse professionnelle (déjà lue par R7, [R7-74])</t>
        </is>
      </c>
      <c r="E500" s="25" t="inlineStr">
        <is>
          <t>2026-10-14</t>
        </is>
      </c>
      <c r="F500" s="25" t="inlineStr">
        <is>
          <t>page_lue</t>
        </is>
      </c>
      <c r="G500" s="25" t="inlineStr">
        <is>
          <t>§4</t>
        </is>
      </c>
      <c r="H500" s="25" t="inlineStr">
        <is>
          <t>moyenne</t>
        </is>
      </c>
    </row>
    <row r="501">
      <c r="A501" s="25" t="inlineStr">
        <is>
          <t>V2A-56</t>
        </is>
      </c>
      <c r="B501" s="8" t="inlineStr">
        <is>
          <t>Résultats WebSearch « délibération conseil municipal bail château exploitant... » (aucune délibération Châteauform', baux emphytéotiques de Besançon)</t>
        </is>
      </c>
      <c r="C501" s="25" t="inlineStr">
        <is>
          <t>https://datasets.grandbesancon.fr/fichiers/delibs/villeDeBesancon/conseilMunicipal/2019/20190919/a190943.pdf</t>
        </is>
      </c>
      <c r="D501" s="25" t="inlineStr">
        <is>
          <t>résultats de recherche</t>
        </is>
      </c>
      <c r="E501" s="25" t="inlineStr">
        <is>
          <t>2026-10-14</t>
        </is>
      </c>
      <c r="F501" s="25" t="inlineStr">
        <is>
          <t>extrait</t>
        </is>
      </c>
      <c r="G501" s="25" t="inlineStr">
        <is>
          <t>§6</t>
        </is>
      </c>
      <c r="H501" s="25" t="inlineStr">
        <is>
          <t>faible</t>
        </is>
      </c>
    </row>
    <row r="502">
      <c r="A502" s="25" t="inlineStr">
        <is>
          <t>V2A-57</t>
        </is>
      </c>
      <c r="B502" s="8" t="inlineStr">
        <is>
          <t>Ville de Besançon, délibération du 19/09/2019 : bail emphytéotique de 25 ans à la SAS Le Château de Germigney (café-restaurant), canon de 4 500 €/an, toutes réparations à la charge de l'emphytéote, retour sans indemnité (PDF, pdftotext)</t>
        </is>
      </c>
      <c r="C502" s="25" t="inlineStr">
        <is>
          <t>https://datasets.grandbesancon.fr/fichiers/delibs/villeDeBesancon/conseilMunicipal/2019/20190919/a190943.pdf</t>
        </is>
      </c>
      <c r="D502" s="25" t="inlineStr">
        <is>
          <t>délibération publique</t>
        </is>
      </c>
      <c r="E502" s="25" t="inlineStr">
        <is>
          <t>2026-10-14</t>
        </is>
      </c>
      <c r="F502" s="25" t="inlineStr">
        <is>
          <t>page_lue</t>
        </is>
      </c>
      <c r="G502" s="25" t="inlineStr">
        <is>
          <t>§6 modèle emphytéotique</t>
        </is>
      </c>
      <c r="H502" s="25" t="inlineStr">
        <is>
          <t>haute</t>
        </is>
      </c>
    </row>
    <row r="503">
      <c r="A503" s="25" t="inlineStr">
        <is>
          <t>V2A-58</t>
        </is>
      </c>
      <c r="B503" s="8" t="inlineStr">
        <is>
          <t>Ville de Besançon, délibération du 28/04/2005 : château de Montfort, bail emphytéotique de 18 ans à l'Association d'Hygiène Sociale du Doubs, loyer annuel 22 945,50 € indexé ICC (PDF)</t>
        </is>
      </c>
      <c r="C503" s="25" t="inlineStr">
        <is>
          <t>https://datasets.grandbesancon.fr/fichiers/delibs/villeDeBesancon/conseilMunicipal/2005/20050428/28avril32.pdf</t>
        </is>
      </c>
      <c r="D503" s="25" t="inlineStr">
        <is>
          <t>délibération publique</t>
        </is>
      </c>
      <c r="E503" s="25" t="inlineStr">
        <is>
          <t>2026-10-14</t>
        </is>
      </c>
      <c r="F503" s="25" t="inlineStr">
        <is>
          <t>page_lue</t>
        </is>
      </c>
      <c r="G503" s="25" t="inlineStr">
        <is>
          <t>§6 locataire institutionnel</t>
        </is>
      </c>
      <c r="H503" s="25" t="inlineStr">
        <is>
          <t>haute</t>
        </is>
      </c>
    </row>
    <row r="504">
      <c r="A504" s="25" t="inlineStr">
        <is>
          <t>V2A-59</t>
        </is>
      </c>
      <c r="B504" s="8" t="inlineStr">
        <is>
          <t>Résultats WebSearch « Château de Suduiraut Châteauform AXA Millésimes » (propriété AXA Millésimes depuis 1992, Decanter : incendie dans une aile « rented out for conferences », ancien centre de séminaires AXA-Université)</t>
        </is>
      </c>
      <c r="C504" s="25" t="inlineStr">
        <is>
          <t>https://decanter.com/?p=395932</t>
        </is>
      </c>
      <c r="D504" s="25" t="inlineStr">
        <is>
          <t>résultats de recherche (extraits, page Decanter illisible)</t>
        </is>
      </c>
      <c r="E504" s="25" t="inlineStr">
        <is>
          <t>2026-10-14</t>
        </is>
      </c>
      <c r="F504" s="25" t="inlineStr">
        <is>
          <t>extrait</t>
        </is>
      </c>
      <c r="G504" s="25" t="inlineStr">
        <is>
          <t>§3 et §8 Suduiraut</t>
        </is>
      </c>
      <c r="H504" s="25" t="inlineStr">
        <is>
          <t>faible</t>
        </is>
      </c>
    </row>
    <row r="505">
      <c r="A505" s="25" t="inlineStr">
        <is>
          <t>V2A-60</t>
        </is>
      </c>
      <c r="B505" s="8" t="inlineStr">
        <is>
          <t>Résultats WebSearch « Châteauform' interview dirigeant développement... » (aucun résultat pertinent)</t>
        </is>
      </c>
      <c r="C505" s="25" t="inlineStr">
        <is>
          <t>https://www.galivel.com/media/files/191023_barnes_chateaux.pdf</t>
        </is>
      </c>
      <c r="D505" s="25" t="inlineStr">
        <is>
          <t>résultats de recherche</t>
        </is>
      </c>
      <c r="E505" s="25" t="inlineStr">
        <is>
          <t>2026-10-14</t>
        </is>
      </c>
      <c r="F505" s="25" t="inlineStr">
        <is>
          <t>extrait</t>
        </is>
      </c>
      <c r="G505" s="25" t="inlineStr">
        <is>
          <t>— (recherche infructueuse)</t>
        </is>
      </c>
      <c r="H505" s="25" t="inlineStr">
        <is>
          <t>faible</t>
        </is>
      </c>
    </row>
    <row r="506">
      <c r="A506" s="25" t="inlineStr">
        <is>
          <t>V2A-61</t>
        </is>
      </c>
      <c r="B506" s="8" t="inlineStr">
        <is>
          <t>Résultats WebSearch « Pierre et Vacances suspension paiement loyers... » (conciliation, 740 propriétaires assignant, abandon proposé de 5 mois de loyers sous condition de 85 % des lots, pages L'Écho touristique en 403)</t>
        </is>
      </c>
      <c r="C506" s="25" t="inlineStr">
        <is>
          <t>https://www.lechotouristique.com/article/covid-19-pierre-vacances-reduit-les-loyers-impayes-a-5-mois</t>
        </is>
      </c>
      <c r="D506" s="25" t="inlineStr">
        <is>
          <t>presse professionnelle (extraits)</t>
        </is>
      </c>
      <c r="E506" s="25" t="inlineStr">
        <is>
          <t>2026-10-14</t>
        </is>
      </c>
      <c r="F506" s="25" t="inlineStr">
        <is>
          <t>extrait</t>
        </is>
      </c>
      <c r="G506" s="25" t="inlineStr">
        <is>
          <t>§8 risques</t>
        </is>
      </c>
      <c r="H506" s="25" t="inlineStr">
        <is>
          <t>moyenne</t>
        </is>
      </c>
    </row>
    <row r="507">
      <c r="A507" s="25" t="inlineStr">
        <is>
          <t>V2A-62</t>
        </is>
      </c>
      <c r="B507" s="8" t="inlineStr">
        <is>
          <t>Assemblée nationale, question écrite n° 38760 (Mme Cazarian), « Situation des bailleurs commerciaux liés à Pierre et Vacances », JO 11/05/2021, réponse JO 31/05/2022 (PDF, pdftotext)</t>
        </is>
      </c>
      <c r="C507" s="25" t="inlineStr">
        <is>
          <t>https://questions.assemblee-nationale.fr/dyn/15/questions/QANR5L15QE38760.pdf</t>
        </is>
      </c>
      <c r="D507" s="25" t="inlineStr">
        <is>
          <t>document parlementaire officiel</t>
        </is>
      </c>
      <c r="E507" s="25" t="inlineStr">
        <is>
          <t>2026-10-14</t>
        </is>
      </c>
      <c r="F507" s="25" t="inlineStr">
        <is>
          <t>page_lue</t>
        </is>
      </c>
      <c r="G507" s="25" t="inlineStr">
        <is>
          <t>§8 risques</t>
        </is>
      </c>
      <c r="H507" s="25" t="inlineStr">
        <is>
          <t>haute</t>
        </is>
      </c>
    </row>
    <row r="508">
      <c r="A508" s="25" t="inlineStr">
        <is>
          <t>V2A-63</t>
        </is>
      </c>
      <c r="B508" s="8" t="inlineStr">
        <is>
          <t>Assemblée nationale, question écrite n° 30678 (M. Sermier), « Difficultés des bailleurs en résidence de tourisme », JO 23/06/2020 (PDF)</t>
        </is>
      </c>
      <c r="C508" s="25" t="inlineStr">
        <is>
          <t>https://questions.assemblee-nationale.fr/dyn/15/questions/QANR5L15QE30678.pdf</t>
        </is>
      </c>
      <c r="D508" s="25" t="inlineStr">
        <is>
          <t>document parlementaire officiel</t>
        </is>
      </c>
      <c r="E508" s="25" t="inlineStr">
        <is>
          <t>2026-10-14</t>
        </is>
      </c>
      <c r="F508" s="25" t="inlineStr">
        <is>
          <t>page_lue</t>
        </is>
      </c>
      <c r="G508" s="25" t="inlineStr">
        <is>
          <t>§8 risques</t>
        </is>
      </c>
      <c r="H508" s="25" t="inlineStr">
        <is>
          <t>haute</t>
        </is>
      </c>
    </row>
    <row r="509">
      <c r="A509" s="25" t="inlineStr">
        <is>
          <t>V2C-01</t>
        </is>
      </c>
      <c r="B509" s="8" t="inlineStr">
        <is>
          <t>INSEE, Banque de données macro-économiques (API SDMX) — Index du bâtiment BT01 tous corps d'état, base 2010, idbank 001710986 (dernière mise à jour 15/09/2026, données 2014-10 à 2026-07)</t>
        </is>
      </c>
      <c r="C509" s="25" t="inlineStr">
        <is>
          <t>https://bdm.insee.fr/series/sdmx/data/SERIES_BDM/001710986</t>
        </is>
      </c>
      <c r="D509" s="25" t="inlineStr">
        <is>
          <t>statistique officielle (API)</t>
        </is>
      </c>
      <c r="E509" s="25" t="inlineStr">
        <is>
          <t>2026-10-14</t>
        </is>
      </c>
      <c r="F509" s="25" t="inlineStr">
        <is>
          <t>page_lue</t>
        </is>
      </c>
      <c r="G509" s="25" t="inlineStr">
        <is>
          <t>V2C §4</t>
        </is>
      </c>
      <c r="H509" s="25" t="inlineStr">
        <is>
          <t>haute</t>
        </is>
      </c>
    </row>
    <row r="510">
      <c r="A510" s="25" t="inlineStr">
        <is>
          <t>V2C-02</t>
        </is>
      </c>
      <c r="B510" s="8" t="inlineStr">
        <is>
          <t>INSEE BDM (API SDMX) — Index BT01 tous corps d'état, référence 100 en janvier 1974, série arrêtée, idbank 000008631 (données jusqu'à 2014-09)</t>
        </is>
      </c>
      <c r="C510" s="25" t="inlineStr">
        <is>
          <t>https://bdm.insee.fr/series/sdmx/data/INDEX-BT-TP-DIV-ANCIENNES-BASES?startPeriod=2000</t>
        </is>
      </c>
      <c r="D510" s="25" t="inlineStr">
        <is>
          <t>statistique officielle (API)</t>
        </is>
      </c>
      <c r="E510" s="25" t="inlineStr">
        <is>
          <t>2026-10-14</t>
        </is>
      </c>
      <c r="F510" s="25" t="inlineStr">
        <is>
          <t>page_lue</t>
        </is>
      </c>
      <c r="G510" s="25" t="inlineStr">
        <is>
          <t>V2C §4</t>
        </is>
      </c>
      <c r="H510" s="25" t="inlineStr">
        <is>
          <t>haute</t>
        </is>
      </c>
    </row>
    <row r="511">
      <c r="A511" s="25" t="inlineStr">
        <is>
          <t>V2C-03</t>
        </is>
      </c>
      <c r="B511" s="8" t="inlineStr">
        <is>
          <t>INSEE BDM (API SDMX) — Indice des prix de l'entretien-amélioration des bâtiments (IPEA), base 2021 : résidentiel 011779962, couverture 011779978, menuiserie 011779972, plomberie-chauffage 011779966, tous bâtiments 011779960 (données 2000-T1 à 2026-T2)</t>
        </is>
      </c>
      <c r="C511" s="25" t="inlineStr">
        <is>
          <t>https://bdm.insee.fr/series/sdmx/data/IPEA-2021?startPeriod=2000</t>
        </is>
      </c>
      <c r="D511" s="25" t="inlineStr">
        <is>
          <t>statistique officielle (API)</t>
        </is>
      </c>
      <c r="E511" s="25" t="inlineStr">
        <is>
          <t>2026-10-14</t>
        </is>
      </c>
      <c r="F511" s="25" t="inlineStr">
        <is>
          <t>page_lue</t>
        </is>
      </c>
      <c r="G511" s="25" t="inlineStr">
        <is>
          <t>V2C §4</t>
        </is>
      </c>
      <c r="H511" s="25" t="inlineStr">
        <is>
          <t>haute</t>
        </is>
      </c>
    </row>
    <row r="512">
      <c r="A512" s="25" t="inlineStr">
        <is>
          <t>V2C-04</t>
        </is>
      </c>
      <c r="B512" s="8" t="inlineStr">
        <is>
          <t>INSEE BDM (API SDMX) — Indices des prix à la consommation base 2015 (séries arrêtées 2025-12), ensemble des ménages, France : ensemble 001759970, électricité 001763554, gaz naturel 001763557, combustibles liquides 001763559, autres combustibles solides 001763562, électricité-gaz-combustibles 001763553</t>
        </is>
      </c>
      <c r="C512" s="25" t="inlineStr">
        <is>
          <t>https://bdm.insee.fr/series/sdmx/data/IPC-2015/M...0451........?startPeriod=2000</t>
        </is>
      </c>
      <c r="D512" s="25" t="inlineStr">
        <is>
          <t>statistique officielle (API)</t>
        </is>
      </c>
      <c r="E512" s="25" t="inlineStr">
        <is>
          <t>2026-10-14</t>
        </is>
      </c>
      <c r="F512" s="25" t="inlineStr">
        <is>
          <t>page_lue</t>
        </is>
      </c>
      <c r="G512" s="25" t="inlineStr">
        <is>
          <t>V2C §4</t>
        </is>
      </c>
      <c r="H512" s="25" t="inlineStr">
        <is>
          <t>haute</t>
        </is>
      </c>
    </row>
    <row r="513">
      <c r="A513" s="25" t="inlineStr">
        <is>
          <t>V2C-05</t>
        </is>
      </c>
      <c r="B513" s="8" t="inlineStr">
        <is>
          <t>INSEE BDM (API SDMX) — Montant du SMIC brut horaire, idbank 000822484 (2000-01 à 2026-10)</t>
        </is>
      </c>
      <c r="C513" s="25" t="inlineStr">
        <is>
          <t>https://bdm.insee.fr/series/sdmx/data/SMIC-COTISATIONS?startPeriod=2000</t>
        </is>
      </c>
      <c r="D513" s="25" t="inlineStr">
        <is>
          <t>statistique officielle (API)</t>
        </is>
      </c>
      <c r="E513" s="25" t="inlineStr">
        <is>
          <t>2026-10-14</t>
        </is>
      </c>
      <c r="F513" s="25" t="inlineStr">
        <is>
          <t>page_lue</t>
        </is>
      </c>
      <c r="G513" s="25" t="inlineStr">
        <is>
          <t>V2C §4</t>
        </is>
      </c>
      <c r="H513" s="25" t="inlineStr">
        <is>
          <t>haute</t>
        </is>
      </c>
    </row>
    <row r="514">
      <c r="A514" s="25" t="inlineStr">
        <is>
          <t>V2C-06</t>
        </is>
      </c>
      <c r="B514" s="8" t="inlineStr">
        <is>
          <t>INSEE BDM (API SDMX) — Indice des taux de salaire horaire des ouvriers et des employés (ACEMO), base 100 au T2 2017 : services administratifs et de soutien NZ 010562769, ensemble non agricole 010562787</t>
        </is>
      </c>
      <c r="C514" s="25" t="inlineStr">
        <is>
          <t>https://bdm.insee.fr/series/sdmx/data/SALAIRES-ACEMO-2017?startPeriod=2005</t>
        </is>
      </c>
      <c r="D514" s="25" t="inlineStr">
        <is>
          <t>statistique officielle (API)</t>
        </is>
      </c>
      <c r="E514" s="25" t="inlineStr">
        <is>
          <t>2026-10-14</t>
        </is>
      </c>
      <c r="F514" s="25" t="inlineStr">
        <is>
          <t>page_lue</t>
        </is>
      </c>
      <c r="G514" s="25" t="inlineStr">
        <is>
          <t>V2C §4</t>
        </is>
      </c>
      <c r="H514" s="25" t="inlineStr">
        <is>
          <t>haute</t>
        </is>
      </c>
    </row>
    <row r="515">
      <c r="A515" s="25" t="inlineStr">
        <is>
          <t>V2C-07</t>
        </is>
      </c>
      <c r="B515" s="8" t="inlineStr">
        <is>
          <t>IGF-IGAC (F.-X. Deniau, G. Amsellem, S. Kancel) — « Modernisation de la notion fiscale d'ouverture au public pour les propriétaires privés de monuments », rapport n° 2019-M-065-03 / 2020-06, février 2020 (inclut une enquête de La Demeure Historique auprès de 187 propriétaires)</t>
        </is>
      </c>
      <c r="C515" s="25" t="inlineStr">
        <is>
          <t>https://www.culture.gouv.fr/de/mc/content/download/281740/pdf_file/Rapport_Monuments-historiques.pdf?version=2</t>
        </is>
      </c>
      <c r="D515" s="25" t="inlineStr">
        <is>
          <t>rapport d'inspection publique (PDF)</t>
        </is>
      </c>
      <c r="E515" s="25" t="inlineStr">
        <is>
          <t>2026-10-14</t>
        </is>
      </c>
      <c r="F515" s="25" t="inlineStr">
        <is>
          <t>page_lue</t>
        </is>
      </c>
      <c r="G515" s="25" t="inlineStr">
        <is>
          <t>V2C §1 §5</t>
        </is>
      </c>
      <c r="H515" s="25" t="inlineStr">
        <is>
          <t>haute</t>
        </is>
      </c>
    </row>
    <row r="516">
      <c r="A516" s="25" t="inlineStr">
        <is>
          <t>V2C-08</t>
        </is>
      </c>
      <c r="B516" s="8" t="inlineStr">
        <is>
          <t>RTBF Actus (S. Hosni) — « Les châteaux belges : entre luxe et gouffre financier » (14 mars 2025)</t>
        </is>
      </c>
      <c r="C516" s="25" t="inlineStr">
        <is>
          <t>https://www.rtbf.be/article/les-chateaux-belges-entre-luxe-et-gouffre-financier-11516135</t>
        </is>
      </c>
      <c r="D516" s="25" t="inlineStr">
        <is>
          <t>presse (Belgique)</t>
        </is>
      </c>
      <c r="E516" s="25" t="inlineStr">
        <is>
          <t>2026-10-14</t>
        </is>
      </c>
      <c r="F516" s="25" t="inlineStr">
        <is>
          <t>page_lue</t>
        </is>
      </c>
      <c r="G516" s="25" t="inlineStr">
        <is>
          <t>V2C §1</t>
        </is>
      </c>
      <c r="H516" s="25" t="inlineStr">
        <is>
          <t>moyenne</t>
        </is>
      </c>
    </row>
    <row r="517">
      <c r="A517" s="25" t="inlineStr">
        <is>
          <t>V2C-09</t>
        </is>
      </c>
      <c r="B517" s="8" t="inlineStr">
        <is>
          <t>AFP via Connaissance des Énergies — « Dans les châteaux de la Loire, le coût de l'énergie grimpe dans les tours » (mis à jour le 24 octobre 2022)</t>
        </is>
      </c>
      <c r="C517" s="25" t="inlineStr">
        <is>
          <t>https://www.connaissancedesenergies.org/afp/dans-les-chateaux-de-la-loire-le-cout-de-lenergie-grimpe-dans-les-tours-221022-0</t>
        </is>
      </c>
      <c r="D517" s="25" t="inlineStr">
        <is>
          <t>presse (dépêche AFP)</t>
        </is>
      </c>
      <c r="E517" s="25" t="inlineStr">
        <is>
          <t>2026-10-14</t>
        </is>
      </c>
      <c r="F517" s="25" t="inlineStr">
        <is>
          <t>page_lue</t>
        </is>
      </c>
      <c r="G517" s="25" t="inlineStr">
        <is>
          <t>V2C §1 §2</t>
        </is>
      </c>
      <c r="H517" s="25" t="inlineStr">
        <is>
          <t>moyenne</t>
        </is>
      </c>
    </row>
    <row r="518">
      <c r="A518" s="25" t="inlineStr">
        <is>
          <t>V2C-10</t>
        </is>
      </c>
      <c r="B518" s="8" t="inlineStr">
        <is>
          <t xml:space="preserve">La Demeure Historique, revue n° 202 — dossier « Le financement privé des travaux » (mécénat, financement participatif </t>
        </is>
      </c>
      <c r="C518" s="25" t="inlineStr">
        <is>
          <t xml:space="preserve"> aucune donnée de budget annuel de propriétaire)</t>
        </is>
      </c>
      <c r="D518" s="25" t="inlineStr">
        <is>
          <t>https://www.demeure-historique.org/wp-content/uploads/2022/09/article-DH202-financement-privé-des-travaux.pdf</t>
        </is>
      </c>
      <c r="E518" s="25" t="inlineStr">
        <is>
          <t>revue d'association (PDF)</t>
        </is>
      </c>
      <c r="F518" s="25" t="inlineStr">
        <is>
          <t>2026-10-14</t>
        </is>
      </c>
      <c r="G518" s="25" t="inlineStr">
        <is>
          <t>page_lue</t>
        </is>
      </c>
      <c r="H518" s="25" t="inlineStr">
        <is>
          <t>V2C §1 (sans donnée utile)</t>
        </is>
      </c>
    </row>
    <row r="519">
      <c r="A519" s="25" t="inlineStr">
        <is>
          <t>V2C-11</t>
        </is>
      </c>
      <c r="B519" s="8" t="inlineStr">
        <is>
          <t>Ville de Liffré (35), service espaces verts — « Document cadre de la gestion différenciée » (novembre 2021, 17 p.) : tâches et fréquences par code d'entretien</t>
        </is>
      </c>
      <c r="C519" s="25" t="inlineStr">
        <is>
          <t>https://www.ville-liffre.fr/wp-content/uploads/sites/2/2022/05/PHASE-1-DU-DOCUMENT-CADRE-DE-LA-GESTION-DIFFERENCIEE-.pdf</t>
        </is>
      </c>
      <c r="D519" s="25" t="inlineStr">
        <is>
          <t>document de collectivité (PDF)</t>
        </is>
      </c>
      <c r="E519" s="25" t="inlineStr">
        <is>
          <t>2026-10-14</t>
        </is>
      </c>
      <c r="F519" s="25" t="inlineStr">
        <is>
          <t>page_lue</t>
        </is>
      </c>
      <c r="G519" s="25" t="inlineStr">
        <is>
          <t>V2C §2 §3</t>
        </is>
      </c>
      <c r="H519" s="25" t="inlineStr">
        <is>
          <t>moyenne</t>
        </is>
      </c>
    </row>
    <row r="520">
      <c r="A520" s="25" t="inlineStr">
        <is>
          <t>V2C-12</t>
        </is>
      </c>
      <c r="B520" s="8" t="inlineStr">
        <is>
          <t>Commune de Marmande (47) — « Le Plan de Gestion Différenciée des espaces verts » (avril 2025), annexe à la délibération D_2025_E_03 du 28 avril 2025 : 32 agents, 193,21 ha</t>
        </is>
      </c>
      <c r="C520" s="25" t="inlineStr">
        <is>
          <t>https://www.mairie-marmande.fr/app/uploads/2025/06/D_2025.E.03_Annexe.pdf</t>
        </is>
      </c>
      <c r="D520" s="25" t="inlineStr">
        <is>
          <t>délibération de collectivité (PDF)</t>
        </is>
      </c>
      <c r="E520" s="25" t="inlineStr">
        <is>
          <t>2026-10-14</t>
        </is>
      </c>
      <c r="F520" s="25" t="inlineStr">
        <is>
          <t>page_lue</t>
        </is>
      </c>
      <c r="G520" s="25" t="inlineStr">
        <is>
          <t>V2C §3</t>
        </is>
      </c>
      <c r="H520" s="25" t="inlineStr">
        <is>
          <t>haute</t>
        </is>
      </c>
    </row>
    <row r="521">
      <c r="A521" s="25" t="inlineStr">
        <is>
          <t>V2C-13</t>
        </is>
      </c>
      <c r="B521" s="8" t="inlineStr">
        <is>
          <t>Ville d'Avignon — « L'éco-pâturage gagne du terrain à Avignon » (document interne, juin 2020) : convention de 3 ans, 13 ha, 75 animaux, économie estimée &gt; 12 000 €/an</t>
        </is>
      </c>
      <c r="C521" s="25" t="inlineStr">
        <is>
          <t>https://www.avignon.fr/fileadmin/actualites/Documents/interne_juin_2020/Eco_Paturage_terrain.pdf</t>
        </is>
      </c>
      <c r="D521" s="25" t="inlineStr">
        <is>
          <t>document de collectivité (PDF)</t>
        </is>
      </c>
      <c r="E521" s="25" t="inlineStr">
        <is>
          <t>2026-10-14</t>
        </is>
      </c>
      <c r="F521" s="25" t="inlineStr">
        <is>
          <t>page_lue</t>
        </is>
      </c>
      <c r="G521" s="25" t="inlineStr">
        <is>
          <t>V2C §2 §3</t>
        </is>
      </c>
      <c r="H521" s="25" t="inlineStr">
        <is>
          <t>moyenne</t>
        </is>
      </c>
    </row>
    <row r="522">
      <c r="A522" s="25" t="inlineStr">
        <is>
          <t>V2C-14</t>
        </is>
      </c>
      <c r="B522" s="8" t="inlineStr">
        <is>
          <t>Métropole Rouen Normandie — communiqué « Terrains cherchent herbivores ! » (appel à candidatures éco-pâturage, 2016)</t>
        </is>
      </c>
      <c r="C522" s="25" t="inlineStr">
        <is>
          <t>https://www.metropole-rouen-normandie.fr/sites/default/files/documents/dossier_presse/CP_ecopaturage.pdf</t>
        </is>
      </c>
      <c r="D522" s="25" t="inlineStr">
        <is>
          <t>communiqué de collectivité (PDF)</t>
        </is>
      </c>
      <c r="E522" s="25" t="inlineStr">
        <is>
          <t>2026-10-14</t>
        </is>
      </c>
      <c r="F522" s="25" t="inlineStr">
        <is>
          <t>page_lue</t>
        </is>
      </c>
      <c r="G522" s="25" t="inlineStr">
        <is>
          <t>V2C §2</t>
        </is>
      </c>
      <c r="H522" s="25" t="inlineStr">
        <is>
          <t>moyenne</t>
        </is>
      </c>
    </row>
    <row r="523">
      <c r="A523" s="25" t="inlineStr">
        <is>
          <t>V2C-15</t>
        </is>
      </c>
      <c r="B523" s="8" t="inlineStr">
        <is>
          <t>Ville de Dumbéa (Nouvelle-Calédonie) — communiqué « Gestion différenciée des espaces verts » (août 2026) : baisse attendue des coûts de 20 à 40 % (téléchargement refusé, 403)</t>
        </is>
      </c>
      <c r="C523" s="25" t="inlineStr">
        <is>
          <t>https://www.ville-dumbea.nc/sites/default/files/2026-08/2026-28%20Gestion%20diffe%CC%81rencie%CC%81e%20des%20espaces%20verts.pdf</t>
        </is>
      </c>
      <c r="D523" s="25" t="inlineStr">
        <is>
          <t>communiqué de collectivité</t>
        </is>
      </c>
      <c r="E523" s="25" t="inlineStr">
        <is>
          <t>2026-10-14</t>
        </is>
      </c>
      <c r="F523" s="25" t="inlineStr">
        <is>
          <t>extrait</t>
        </is>
      </c>
      <c r="G523" s="25" t="inlineStr">
        <is>
          <t>V2C §2</t>
        </is>
      </c>
      <c r="H523" s="25" t="inlineStr">
        <is>
          <t>faible</t>
        </is>
      </c>
    </row>
    <row r="524">
      <c r="A524" s="25" t="inlineStr">
        <is>
          <t>V2C-16</t>
        </is>
      </c>
      <c r="B524" s="8" t="inlineStr">
        <is>
          <t>Wikipédia (fr) — article « Thouars », section « Labels » (palmarès 2025 des villes fleuries) : 65 ha d'espaces verts et 34 jardiniers</t>
        </is>
      </c>
      <c r="C524" s="25" t="inlineStr">
        <is>
          <t>https://fr.wikipedia.org/wiki/Thouars</t>
        </is>
      </c>
      <c r="D524" s="25" t="inlineStr">
        <is>
          <t>encyclopédie collaborative</t>
        </is>
      </c>
      <c r="E524" s="25" t="inlineStr">
        <is>
          <t>2026-10-14</t>
        </is>
      </c>
      <c r="F524" s="25" t="inlineStr">
        <is>
          <t>page_lue</t>
        </is>
      </c>
      <c r="G524" s="25" t="inlineStr">
        <is>
          <t>V2C §3</t>
        </is>
      </c>
      <c r="H524" s="25" t="inlineStr">
        <is>
          <t>moyenne</t>
        </is>
      </c>
    </row>
    <row r="525">
      <c r="A525" s="25" t="inlineStr">
        <is>
          <t>V2C-17</t>
        </is>
      </c>
      <c r="B525" s="8" t="inlineStr">
        <is>
          <t xml:space="preserve">Wikipédia (fr) — article « Château de Robersart » (Wambrechies, Nord </t>
        </is>
      </c>
      <c r="C525" s="25" t="inlineStr">
        <is>
          <t xml:space="preserve"> version du 12 juin 2024) : parc de 9 ha, jardin de 5 500 m², quatre jardiniers depuis 2016</t>
        </is>
      </c>
      <c r="D525" s="25" t="inlineStr">
        <is>
          <t>https://fr.wikipedia.org/wiki/Ch%C3%A2teau_de_Robersart</t>
        </is>
      </c>
      <c r="E525" s="25" t="inlineStr">
        <is>
          <t>encyclopédie collaborative</t>
        </is>
      </c>
      <c r="F525" s="25" t="inlineStr">
        <is>
          <t>2026-10-14</t>
        </is>
      </c>
      <c r="G525" s="25" t="inlineStr">
        <is>
          <t>page_lue</t>
        </is>
      </c>
      <c r="H525" s="25" t="inlineStr">
        <is>
          <t>V2C §3</t>
        </is>
      </c>
    </row>
    <row r="526">
      <c r="A526" s="25" t="inlineStr">
        <is>
          <t>V2C-18</t>
        </is>
      </c>
      <c r="B526" s="8" t="inlineStr">
        <is>
          <t xml:space="preserve">Hérodote.net — « Un jardinier qui sait se faire apprécier » (Le Nôtre </t>
        </is>
      </c>
      <c r="C526" s="25" t="inlineStr">
        <is>
          <t xml:space="preserve"> Versailles « 7000 jardiniers », « une quarantaine aujourd'hui », vu seulement dans un résultat de recherche)</t>
        </is>
      </c>
      <c r="D526" s="25" t="inlineStr">
        <is>
          <t>https://www.herodote.net/Un_jardinier_qui_sait_se_faire_apprecier-synthese-1719.php?resume=1</t>
        </is>
      </c>
      <c r="E526" s="25" t="inlineStr">
        <is>
          <t>site de vulgarisation historique</t>
        </is>
      </c>
      <c r="F526" s="25" t="inlineStr">
        <is>
          <t>2026-10-14</t>
        </is>
      </c>
      <c r="G526" s="25" t="inlineStr">
        <is>
          <t>extrait</t>
        </is>
      </c>
      <c r="H526" s="25" t="inlineStr">
        <is>
          <t>V2C §3</t>
        </is>
      </c>
    </row>
    <row r="527">
      <c r="A527" s="25" t="inlineStr">
        <is>
          <t>V2C-19</t>
        </is>
      </c>
      <c r="B527" s="8" t="inlineStr">
        <is>
          <t>INSEE BDM (API SDMX) — Indice des prix à la consommation base 2015, COICOP 12.5.2 « Assurance habitation », ensemble des ménages, France, idbank 001763819 (2000-01 à 2025-12)</t>
        </is>
      </c>
      <c r="C527" s="25" t="inlineStr">
        <is>
          <t>https://bdm.insee.fr/series/sdmx/data/IPC-2015/M...1252........?startPeriod=2000</t>
        </is>
      </c>
      <c r="D527" s="25" t="inlineStr">
        <is>
          <t>statistique officielle (API)</t>
        </is>
      </c>
      <c r="E527" s="25" t="inlineStr">
        <is>
          <t>2026-10-14</t>
        </is>
      </c>
      <c r="F527" s="25" t="inlineStr">
        <is>
          <t>page_lue</t>
        </is>
      </c>
      <c r="G527" s="25" t="inlineStr">
        <is>
          <t>V2C §4</t>
        </is>
      </c>
      <c r="H527" s="25" t="inlineStr">
        <is>
          <t>haute</t>
        </is>
      </c>
    </row>
    <row r="528">
      <c r="A528" s="25" t="inlineStr">
        <is>
          <t>V2C-20</t>
        </is>
      </c>
      <c r="B528" s="8" t="inlineStr">
        <is>
          <t xml:space="preserve">INSEE BDM (API SDMX) — Indices des prix de production des services (IPPS) base 2021, CPF 81.30 « Services d'aménagement paysager » : BtoAll 010766745, BtoB 010766608 </t>
        </is>
      </c>
      <c r="C528" s="25" t="inlineStr">
        <is>
          <t xml:space="preserve"> CPF 81 ensemble 010766633 (2010-T1 à 2026-T2)</t>
        </is>
      </c>
      <c r="D528" s="25" t="inlineStr">
        <is>
          <t>https://bdm.insee.fr/series/sdmx/data/IPPS-2021?startPeriod=2000</t>
        </is>
      </c>
      <c r="E528" s="25" t="inlineStr">
        <is>
          <t>statistique officielle (API)</t>
        </is>
      </c>
      <c r="F528" s="25" t="inlineStr">
        <is>
          <t>2026-10-14</t>
        </is>
      </c>
      <c r="G528" s="25" t="inlineStr">
        <is>
          <t>page_lue</t>
        </is>
      </c>
      <c r="H528" s="25" t="inlineStr">
        <is>
          <t>V2C §2 §4</t>
        </is>
      </c>
    </row>
    <row r="529">
      <c r="A529" s="25" t="inlineStr">
        <is>
          <t>V2C-21</t>
        </is>
      </c>
      <c r="B529" s="8" t="inlineStr">
        <is>
          <t xml:space="preserve">Plante &amp; Cité, Baromètres — « Parcs et jardins : Temps de travaux pour l'entretien » (données Ville de Rennes, « Coûts de maintenance », 2012 </t>
        </is>
      </c>
      <c r="C529" s="25" t="inlineStr">
        <is>
          <t xml:space="preserve"> fiche publiée 2017, modifiée 2018) : h/ha/an par code de gestion différenciée</t>
        </is>
      </c>
      <c r="D529" s="25" t="inlineStr">
        <is>
          <t>https://barometres.plante-et-cite.fr/donnees/parcs-jardins-temps-entretien/</t>
        </is>
      </c>
      <c r="E529" s="25" t="inlineStr">
        <is>
          <t>observatoire technique (données de collectivité)</t>
        </is>
      </c>
      <c r="F529" s="25" t="inlineStr">
        <is>
          <t>2026-10-14</t>
        </is>
      </c>
      <c r="G529" s="25" t="inlineStr">
        <is>
          <t>page_lue</t>
        </is>
      </c>
      <c r="H529" s="25" t="inlineStr">
        <is>
          <t>V2C §2 §3</t>
        </is>
      </c>
    </row>
    <row r="530">
      <c r="A530" s="25" t="inlineStr">
        <is>
          <t>V2C-22</t>
        </is>
      </c>
      <c r="B530" s="8" t="inlineStr">
        <is>
          <t>Plante &amp; Cité, Baromètres — « Désherbage : Coût annuel » (programme COMPAMED ZNA 2011, évaluation des coûts 2013) : €/100 m²/an par technique</t>
        </is>
      </c>
      <c r="C530" s="25" t="inlineStr">
        <is>
          <t>https://barometres.plante-et-cite.fr/donnees/desherbage-cout-annuel/</t>
        </is>
      </c>
      <c r="D530" s="25" t="inlineStr">
        <is>
          <t>observatoire technique</t>
        </is>
      </c>
      <c r="E530" s="25" t="inlineStr">
        <is>
          <t>2026-10-14</t>
        </is>
      </c>
      <c r="F530" s="25" t="inlineStr">
        <is>
          <t>page_lue</t>
        </is>
      </c>
      <c r="G530" s="25" t="inlineStr">
        <is>
          <t>V2C §2</t>
        </is>
      </c>
      <c r="H530" s="25" t="inlineStr">
        <is>
          <t>haute</t>
        </is>
      </c>
    </row>
    <row r="531">
      <c r="A531" s="25" t="inlineStr">
        <is>
          <t>V2C-23</t>
        </is>
      </c>
      <c r="B531" s="8" t="inlineStr">
        <is>
          <t xml:space="preserve">Plante &amp; Cité, Baromètres — « Désherbage : Composantes du coût de l'intervention » (2011 </t>
        </is>
      </c>
      <c r="C531" s="25" t="inlineStr">
        <is>
          <t xml:space="preserve"> 253 interventions) : part de la main-d'œuvre 60 à 99 %</t>
        </is>
      </c>
      <c r="D531" s="25" t="inlineStr">
        <is>
          <t>https://barometres.plante-et-cite.fr/donnees/desherbage-composition-cout-intervention/</t>
        </is>
      </c>
      <c r="E531" s="25" t="inlineStr">
        <is>
          <t>observatoire technique</t>
        </is>
      </c>
      <c r="F531" s="25" t="inlineStr">
        <is>
          <t>2026-10-14</t>
        </is>
      </c>
      <c r="G531" s="25" t="inlineStr">
        <is>
          <t>page_lue</t>
        </is>
      </c>
      <c r="H531" s="25" t="inlineStr">
        <is>
          <t>V2C §2</t>
        </is>
      </c>
    </row>
    <row r="532">
      <c r="A532" s="25" t="inlineStr">
        <is>
          <t>V2C-24</t>
        </is>
      </c>
      <c r="B532" s="8" t="inlineStr">
        <is>
          <t>France Télévisions (francetvpro) — dossier de presse « Vaux-le-Vicomte, un château de famille », Le Doc du dimanche, France 5, 19 juin 2016</t>
        </is>
      </c>
      <c r="C532" s="25" t="inlineStr">
        <is>
          <t>https://www.francetvpro.fr/contenu-de-presse/19227</t>
        </is>
      </c>
      <c r="D532" s="25" t="inlineStr">
        <is>
          <t>dossier de presse</t>
        </is>
      </c>
      <c r="E532" s="25" t="inlineStr">
        <is>
          <t>2026-10-14</t>
        </is>
      </c>
      <c r="F532" s="25" t="inlineStr">
        <is>
          <t>page_lue</t>
        </is>
      </c>
      <c r="G532" s="25" t="inlineStr">
        <is>
          <t>V2C §1 §3</t>
        </is>
      </c>
      <c r="H532" s="25" t="inlineStr">
        <is>
          <t>moyenne</t>
        </is>
      </c>
    </row>
    <row r="533">
      <c r="A533" s="25" t="inlineStr">
        <is>
          <t>V2C-25</t>
        </is>
      </c>
      <c r="B533" s="8" t="inlineStr">
        <is>
          <t>Vaux-le-Vicomte (site officiel) — page « Le jardin » : 33 ha de jardin, parc de 500 ha clos par un mur de 13 km, remplacement en 2019 des buis des parterres des boulingrins par une œuvre temporaire</t>
        </is>
      </c>
      <c r="C533" s="25" t="inlineStr">
        <is>
          <t>https://vaux-le-vicomte.com/le-domaine/le-jardin/</t>
        </is>
      </c>
      <c r="D533" s="25" t="inlineStr">
        <is>
          <t>site du domaine</t>
        </is>
      </c>
      <c r="E533" s="25" t="inlineStr">
        <is>
          <t>2026-10-14</t>
        </is>
      </c>
      <c r="F533" s="25" t="inlineStr">
        <is>
          <t>page_lue</t>
        </is>
      </c>
      <c r="G533" s="25" t="inlineStr">
        <is>
          <t>V2C §2 §3</t>
        </is>
      </c>
      <c r="H533" s="25" t="inlineStr">
        <is>
          <t>moyenne</t>
        </is>
      </c>
    </row>
    <row r="534">
      <c r="A534" s="25" t="inlineStr">
        <is>
          <t>V2C-26</t>
        </is>
      </c>
      <c r="B534" s="8" t="inlineStr">
        <is>
          <t xml:space="preserve">Service-public.gouv.fr — actualité A18805 « À quelle date l'obligation d'installer un thermostat programmable sera-t-elle effective ? » (17 février 2026) : jusqu'à 15 % d'économie de chauffage selon l'ADEME </t>
        </is>
      </c>
      <c r="C534" s="25" t="inlineStr">
        <is>
          <t xml:space="preserve"> report au 1er janvier 2030 (décret n° 2025-1343)</t>
        </is>
      </c>
      <c r="D534" s="25" t="inlineStr">
        <is>
          <t>https://www.service-public.gouv.fr/particuliers/actualites/A18805</t>
        </is>
      </c>
      <c r="E534" s="25" t="inlineStr">
        <is>
          <t>site officiel</t>
        </is>
      </c>
      <c r="F534" s="25" t="inlineStr">
        <is>
          <t>2026-10-14</t>
        </is>
      </c>
      <c r="G534" s="25" t="inlineStr">
        <is>
          <t>page_lue</t>
        </is>
      </c>
      <c r="H534" s="25" t="inlineStr">
        <is>
          <t>V2C §2</t>
        </is>
      </c>
    </row>
    <row r="535">
      <c r="A535" s="25" t="inlineStr">
        <is>
          <t>V2C-27</t>
        </is>
      </c>
      <c r="B535" s="8" t="inlineStr">
        <is>
          <t>Service-public.gouv.fr — fiche F33682 « Doit-on obligatoirement entreprendre des travaux d'isolation thermique en cas de rénovation ? » (vérifiée le 20 juin 2025) : MH classés ou inscrits exclus</t>
        </is>
      </c>
      <c r="C535" s="25" t="inlineStr">
        <is>
          <t>https://www.service-public.gouv.fr/particuliers/vosdroits/F33682</t>
        </is>
      </c>
      <c r="D535" s="25" t="inlineStr">
        <is>
          <t>site officiel</t>
        </is>
      </c>
      <c r="E535" s="25" t="inlineStr">
        <is>
          <t>2026-10-14</t>
        </is>
      </c>
      <c r="F535" s="25" t="inlineStr">
        <is>
          <t>page_lue</t>
        </is>
      </c>
      <c r="G535" s="25" t="inlineStr">
        <is>
          <t>V2C §2</t>
        </is>
      </c>
      <c r="H535" s="25" t="inlineStr">
        <is>
          <t>haute</t>
        </is>
      </c>
    </row>
    <row r="536">
      <c r="A536" s="25" t="inlineStr">
        <is>
          <t>V2C-28</t>
        </is>
      </c>
      <c r="B536" s="8" t="inlineStr">
        <is>
          <t xml:space="preserve">Wikipédia (fr) — article « Jardin du Luxembourg » : « Il y a 60 jardiniers en 2016 » [réf. nécessaire] </t>
        </is>
      </c>
      <c r="C536" s="25" t="inlineStr">
        <is>
          <t xml:space="preserve"> 23 ha (21 ouverts au public)</t>
        </is>
      </c>
      <c r="D536" s="25" t="inlineStr">
        <is>
          <t>https://fr.wikipedia.org/wiki/Jardin_du_Luxembourg</t>
        </is>
      </c>
      <c r="E536" s="25" t="inlineStr">
        <is>
          <t>encyclopédie collaborative</t>
        </is>
      </c>
      <c r="F536" s="25" t="inlineStr">
        <is>
          <t>2026-10-14</t>
        </is>
      </c>
      <c r="G536" s="25" t="inlineStr">
        <is>
          <t>page_lue</t>
        </is>
      </c>
      <c r="H536" s="25" t="inlineStr">
        <is>
          <t>V2C §3</t>
        </is>
      </c>
    </row>
    <row r="537">
      <c r="A537" s="25" t="inlineStr">
        <is>
          <t>V2C-29</t>
        </is>
      </c>
      <c r="B537" s="8" t="inlineStr">
        <is>
          <t>Entreprendre.service-public.gouv.fr — fiche F1694 « Embauche d'un salarié par un groupement d'employeurs : quelles sont les règles ? » (vérifiée le 12 juin 2026)</t>
        </is>
      </c>
      <c r="C537" s="25" t="inlineStr">
        <is>
          <t>https://entreprendre.service-public.gouv.fr/vosdroits/F1694</t>
        </is>
      </c>
      <c r="D537" s="25" t="inlineStr">
        <is>
          <t>site officiel</t>
        </is>
      </c>
      <c r="E537" s="25" t="inlineStr">
        <is>
          <t>2026-10-14</t>
        </is>
      </c>
      <c r="F537" s="25" t="inlineStr">
        <is>
          <t>page_lue</t>
        </is>
      </c>
      <c r="G537" s="25" t="inlineStr">
        <is>
          <t>V2C §2</t>
        </is>
      </c>
      <c r="H537" s="25" t="inlineStr">
        <is>
          <t>haute</t>
        </is>
      </c>
    </row>
    <row r="538">
      <c r="A538" s="25" t="inlineStr">
        <is>
          <t>V2C-30</t>
        </is>
      </c>
      <c r="B538" s="8" t="inlineStr">
        <is>
          <t>IGN, Inventaire forestier national — « Mémento 2024 » (72 p.) : production biologique brute 5,4 m³/ha/an, nette 4,4 m³/ha/an (2014-2022)</t>
        </is>
      </c>
      <c r="C538" s="25" t="inlineStr">
        <is>
          <t>https://inventaire-forestier.ign.fr/IMG/pdf/memento_2024.pdf</t>
        </is>
      </c>
      <c r="D538" s="25" t="inlineStr">
        <is>
          <t>statistique officielle (PDF)</t>
        </is>
      </c>
      <c r="E538" s="25" t="inlineStr">
        <is>
          <t>2026-10-14</t>
        </is>
      </c>
      <c r="F538" s="25" t="inlineStr">
        <is>
          <t>page_lue</t>
        </is>
      </c>
      <c r="G538" s="25" t="inlineStr">
        <is>
          <t>V2C §2</t>
        </is>
      </c>
      <c r="H538" s="25" t="inlineStr">
        <is>
          <t>haute</t>
        </is>
      </c>
    </row>
    <row r="539">
      <c r="A539" s="25" t="inlineStr">
        <is>
          <t>V2C-31</t>
        </is>
      </c>
      <c r="B539" s="8" t="inlineStr">
        <is>
          <t>Parc naturel régional du Morvan — « Le Bois Énergie dans le Morvan » (4 pages, mai 2018) : ≈ 70 000 t de bois par an, équivalent de 19 millions de litres de fioul</t>
        </is>
      </c>
      <c r="C539" s="25" t="inlineStr">
        <is>
          <t>https://www.parcdumorvan.org/wp-content/uploads/2019/07/4pages_bois_energie_morvan_reduit.pdf</t>
        </is>
      </c>
      <c r="D539" s="25" t="inlineStr">
        <is>
          <t>document de parc naturel régional (PDF)</t>
        </is>
      </c>
      <c r="E539" s="25" t="inlineStr">
        <is>
          <t>2026-10-14</t>
        </is>
      </c>
      <c r="F539" s="25" t="inlineStr">
        <is>
          <t>page_lue</t>
        </is>
      </c>
      <c r="G539" s="25" t="inlineStr">
        <is>
          <t>V2C §2</t>
        </is>
      </c>
      <c r="H539" s="25" t="inlineStr">
        <is>
          <t>moyenne</t>
        </is>
      </c>
    </row>
    <row r="540">
      <c r="A540" s="25" t="inlineStr">
        <is>
          <t>V2C-32</t>
        </is>
      </c>
      <c r="B540" s="8" t="inlineStr">
        <is>
          <t xml:space="preserve">Bioénergie Promotion / ADEME PACA — fiches de site de chaufferies bois de 90 à 400 kW (Saignon 100 kW, Luceram 90 kW, Notre-Dame du Laus 2 × 200 kW) : économies annuelles par rapport au fioul (fiches refusées en lecture, 403 </t>
        </is>
      </c>
      <c r="C540" s="25" t="inlineStr">
        <is>
          <t xml:space="preserve"> chiffres vus seulement dans le résultat de recherche)</t>
        </is>
      </c>
      <c r="D540" s="25" t="inlineStr">
        <is>
          <t>https://bioenergie-promotion.fr/wp-content/uploads/2023/10/fr-06460-luceram-fiche-site-luceram-90kw-froling-mrbe-ademe-paca.pdf</t>
        </is>
      </c>
      <c r="E540" s="25" t="inlineStr">
        <is>
          <t>fiches techniques (PDF)</t>
        </is>
      </c>
      <c r="F540" s="25" t="inlineStr">
        <is>
          <t>2026-10-14</t>
        </is>
      </c>
      <c r="G540" s="25" t="inlineStr">
        <is>
          <t>extrait</t>
        </is>
      </c>
      <c r="H540" s="25" t="inlineStr">
        <is>
          <t>V2C §2</t>
        </is>
      </c>
    </row>
    <row r="541">
      <c r="A541" s="25" t="inlineStr">
        <is>
          <t>V2C-33</t>
        </is>
      </c>
      <c r="B541" s="8" t="inlineStr">
        <is>
          <t xml:space="preserve">Chambre d'agriculture des Alpes-de-Haute-Provence — fiche « Bilan chaudière M. Michel » (Selonnet, 110 kW </t>
        </is>
      </c>
      <c r="C541" s="25" t="inlineStr">
        <is>
          <t xml:space="preserve"> page en 404 à l'ouverture, chiffres vus seulement dans le résultat de recherche)</t>
        </is>
      </c>
      <c r="D541" s="25" t="inlineStr">
        <is>
          <t>https://paca.chambres-agriculture.fr/fileadmin/user_upload/Provence-Alpes-Cote_d_Azur/020_Inst_Paca/CA04/Documents/Actualites/2024/FicheChaudiereBilanMMichel_CA04_VF.pdf</t>
        </is>
      </c>
      <c r="E541" s="25" t="inlineStr">
        <is>
          <t>fiche de chambre d'agriculture</t>
        </is>
      </c>
      <c r="F541" s="25" t="inlineStr">
        <is>
          <t>2026-10-14</t>
        </is>
      </c>
      <c r="G541" s="25" t="inlineStr">
        <is>
          <t>extrait</t>
        </is>
      </c>
      <c r="H541" s="25" t="inlineStr">
        <is>
          <t>V2C §2</t>
        </is>
      </c>
    </row>
    <row r="542">
      <c r="A542" s="25" t="inlineStr">
        <is>
          <t>V2C-34</t>
        </is>
      </c>
      <c r="B542" s="8" t="inlineStr">
        <is>
          <t>Comité des Parcs et Jardins (Champagne-Ardenne) — « Lettre d'automne 2015 » : pyrale du buis, traitement au Bacillus thuringiensis, Ilex crenata en remplacement (aucun coût)</t>
        </is>
      </c>
      <c r="C542" s="25" t="inlineStr">
        <is>
          <t>https://www.parcsetjardins.fr/data/diaries//files/lettre-d-automne-2015.pdf</t>
        </is>
      </c>
      <c r="D542" s="25" t="inlineStr">
        <is>
          <t>lettre d'association (PDF)</t>
        </is>
      </c>
      <c r="E542" s="25" t="inlineStr">
        <is>
          <t>2026-10-14</t>
        </is>
      </c>
      <c r="F542" s="25" t="inlineStr">
        <is>
          <t>page_lue</t>
        </is>
      </c>
      <c r="G542" s="25" t="inlineStr">
        <is>
          <t>V2C §2</t>
        </is>
      </c>
      <c r="H542" s="25" t="inlineStr">
        <is>
          <t>faible</t>
        </is>
      </c>
    </row>
    <row r="543">
      <c r="A543" s="25" t="inlineStr">
        <is>
          <t>V2C-35</t>
        </is>
      </c>
      <c r="B543" s="8" t="inlineStr">
        <is>
          <t>BOAMP — avis de marchés d'entretien d'espaces verts (ex. Mairie de Panazol, avis 25-42381, accord-cadre de 600 000 € max.) : montants sans surfaces ni prix unitaires</t>
        </is>
      </c>
      <c r="C543" s="25" t="inlineStr">
        <is>
          <t>https://www.boamp.fr/telechargements/FILES/PDF/2025/04/25-42381.pdf</t>
        </is>
      </c>
      <c r="D543" s="25" t="inlineStr">
        <is>
          <t>avis de marché public (PDF)</t>
        </is>
      </c>
      <c r="E543" s="25" t="inlineStr">
        <is>
          <t>2026-10-14</t>
        </is>
      </c>
      <c r="F543" s="25" t="inlineStr">
        <is>
          <t>page_lue</t>
        </is>
      </c>
      <c r="G543" s="25" t="inlineStr">
        <is>
          <t>V2C §3 (constat d'absence)</t>
        </is>
      </c>
      <c r="H543" s="25" t="inlineStr">
        <is>
          <t>moyenne</t>
        </is>
      </c>
    </row>
    <row r="544">
      <c r="A544" s="25" t="inlineStr">
        <is>
          <t>V2D-01</t>
        </is>
      </c>
      <c r="B544" s="8" t="inlineStr">
        <is>
          <t>Euodia : programme « Château de Chassagny », Montagny (69) (T1 dès 84 800 €, T2 dès 129 500 €, livraison T4 2024)</t>
        </is>
      </c>
      <c r="C544" s="25" t="inlineStr">
        <is>
          <t>https://www.euodia.fr/programme/chateau-de-chassagny/</t>
        </is>
      </c>
      <c r="D544" s="25" t="inlineStr">
        <is>
          <t>site commercial de conseil en défiscalisation</t>
        </is>
      </c>
      <c r="E544" s="25" t="inlineStr">
        <is>
          <t>2026-10-14</t>
        </is>
      </c>
      <c r="F544" s="25" t="inlineStr">
        <is>
          <t>page_lue</t>
        </is>
      </c>
      <c r="G544" s="25" t="inlineStr">
        <is>
          <t>§1.1 opérations MH</t>
        </is>
      </c>
      <c r="H544" s="25" t="inlineStr">
        <is>
          <t>faible</t>
        </is>
      </c>
    </row>
    <row r="545">
      <c r="A545" s="25" t="inlineStr">
        <is>
          <t>V2D-02</t>
        </is>
      </c>
      <c r="B545" s="8" t="inlineStr">
        <is>
          <t>MySweetImmo (17/09/2020, mis à jour 31/08/2022) : « La vie de Château, un rêve accessible » (Groupe Mercure, prix de châteaux MH)</t>
        </is>
      </c>
      <c r="C545" s="25" t="inlineStr">
        <is>
          <t>https://www.mysweetimmo.com/2020/09/17/immobilier-chateau-le-reve-devient-accessible/</t>
        </is>
      </c>
      <c r="D545" s="25" t="inlineStr">
        <is>
          <t>presse immobilière en ligne</t>
        </is>
      </c>
      <c r="E545" s="25" t="inlineStr">
        <is>
          <t>2026-10-14</t>
        </is>
      </c>
      <c r="F545" s="25" t="inlineStr">
        <is>
          <t>page_lue</t>
        </is>
      </c>
      <c r="G545" s="25" t="inlineStr">
        <is>
          <t>§1.1 contexte</t>
        </is>
      </c>
      <c r="H545" s="25" t="inlineStr">
        <is>
          <t>faible</t>
        </is>
      </c>
    </row>
    <row r="546">
      <c r="A546" s="25" t="inlineStr">
        <is>
          <t>V2D-03</t>
        </is>
      </c>
      <c r="B546" s="8" t="inlineStr">
        <is>
          <t xml:space="preserve">Histoire &amp; Patrimoine (groupe Altarea) : page d'accueil (1,5 Md€ investis par les clients </t>
        </is>
      </c>
      <c r="C546" s="25" t="inlineStr">
        <is>
          <t xml:space="preserve"> lien « Proposer un bâtiment » vers altarea-partenaires.com)</t>
        </is>
      </c>
      <c r="D546" s="25" t="inlineStr">
        <is>
          <t>https://www.histoire-patrimoine.fr/</t>
        </is>
      </c>
      <c r="E546" s="25" t="inlineStr">
        <is>
          <t>site d'opérateur (promoteur spécialisé)</t>
        </is>
      </c>
      <c r="F546" s="25" t="inlineStr">
        <is>
          <t>2026-10-14</t>
        </is>
      </c>
      <c r="G546" s="25" t="inlineStr">
        <is>
          <t>page_lue</t>
        </is>
      </c>
      <c r="H546" s="25" t="inlineStr">
        <is>
          <t>§1.1 opérateurs</t>
        </is>
      </c>
    </row>
    <row r="547">
      <c r="A547" s="25" t="inlineStr">
        <is>
          <t>V2D-04</t>
        </is>
      </c>
      <c r="B547" s="8" t="inlineStr">
        <is>
          <t>Histoire &amp; Patrimoine : chiffres clés et gouvernance (+ de 500 demeures, + de 10 000 logements, + de 1,5 Md€ investis, + de 30 ans)</t>
        </is>
      </c>
      <c r="C547" s="25" t="inlineStr">
        <is>
          <t>https://www.histoire-patrimoine.fr/chiffres-cles-gouvernance</t>
        </is>
      </c>
      <c r="D547" s="25" t="inlineStr">
        <is>
          <t>site d'opérateur (promoteur spécialisé)</t>
        </is>
      </c>
      <c r="E547" s="25" t="inlineStr">
        <is>
          <t>2026-10-14</t>
        </is>
      </c>
      <c r="F547" s="25" t="inlineStr">
        <is>
          <t>page_lue</t>
        </is>
      </c>
      <c r="G547" s="25" t="inlineStr">
        <is>
          <t>§1.1 opérateurs</t>
        </is>
      </c>
      <c r="H547" s="25" t="inlineStr">
        <is>
          <t>moyenne</t>
        </is>
      </c>
    </row>
    <row r="548">
      <c r="A548" s="25" t="inlineStr">
        <is>
          <t>V2D-05</t>
        </is>
      </c>
      <c r="B548" s="8" t="inlineStr">
        <is>
          <t>Histoire &amp; Patrimoine : programme Domaine de Wendel, Hayange (125 logements, MH + déficit foncier, dès 305 700 €, simulateur travaux 78 % / foncier 22 %)</t>
        </is>
      </c>
      <c r="C548" s="25" t="inlineStr">
        <is>
          <t>https://www.histoire-patrimoine.fr/programme-immobilier/domaine-de-wendel</t>
        </is>
      </c>
      <c r="D548" s="25" t="inlineStr">
        <is>
          <t>site d'opérateur (promoteur spécialisé)</t>
        </is>
      </c>
      <c r="E548" s="25" t="inlineStr">
        <is>
          <t>2026-10-14</t>
        </is>
      </c>
      <c r="F548" s="25" t="inlineStr">
        <is>
          <t>page_lue</t>
        </is>
      </c>
      <c r="G548" s="25" t="inlineStr">
        <is>
          <t>§1.2 prix et structure</t>
        </is>
      </c>
      <c r="H548" s="25" t="inlineStr">
        <is>
          <t>moyenne</t>
        </is>
      </c>
    </row>
    <row r="549">
      <c r="A549" s="25" t="inlineStr">
        <is>
          <t>V2D-06</t>
        </is>
      </c>
      <c r="B549" s="8" t="inlineStr">
        <is>
          <t>Histoire &amp; Patrimoine : page « Monument historique » (100 % des travaux déduits du revenu global, déplafonnement, simulateur 80 % travaux / 20 % foncier, cible TMI 41-45 %)</t>
        </is>
      </c>
      <c r="C549" s="25" t="inlineStr">
        <is>
          <t>https://www.histoire-patrimoine.fr/investir-defiscaliser/monument-historique</t>
        </is>
      </c>
      <c r="D549" s="25" t="inlineStr">
        <is>
          <t>site d'opérateur (promoteur spécialisé)</t>
        </is>
      </c>
      <c r="E549" s="25" t="inlineStr">
        <is>
          <t>2026-10-14</t>
        </is>
      </c>
      <c r="F549" s="25" t="inlineStr">
        <is>
          <t>page_lue</t>
        </is>
      </c>
      <c r="G549" s="25" t="inlineStr">
        <is>
          <t>§1.2 avantage fiscal</t>
        </is>
      </c>
      <c r="H549" s="25" t="inlineStr">
        <is>
          <t>moyenne</t>
        </is>
      </c>
    </row>
    <row r="550">
      <c r="A550" s="25" t="inlineStr">
        <is>
          <t>V2D-07</t>
        </is>
      </c>
      <c r="B550" s="8" t="inlineStr">
        <is>
          <t>Histoire &amp; Patrimoine : liste des programmes en vente (12 programmes, octobre 2026)</t>
        </is>
      </c>
      <c r="C550" s="25" t="inlineStr">
        <is>
          <t>https://www.histoire-patrimoine.fr/programme-immobilier</t>
        </is>
      </c>
      <c r="D550" s="25" t="inlineStr">
        <is>
          <t>site d'opérateur (promoteur spécialisé)</t>
        </is>
      </c>
      <c r="E550" s="25" t="inlineStr">
        <is>
          <t>2026-10-14</t>
        </is>
      </c>
      <c r="F550" s="25" t="inlineStr">
        <is>
          <t>page_lue</t>
        </is>
      </c>
      <c r="G550" s="25" t="inlineStr">
        <is>
          <t>§1.1 typologie des biens</t>
        </is>
      </c>
      <c r="H550" s="25" t="inlineStr">
        <is>
          <t>moyenne</t>
        </is>
      </c>
    </row>
    <row r="551">
      <c r="A551" s="25" t="inlineStr">
        <is>
          <t>V2D-08</t>
        </is>
      </c>
      <c r="B551" s="8" t="inlineStr">
        <is>
          <t>Histoire &amp; Patrimoine : actualité « Manoir de la Paclais », Saint-Herblain (manoir XVe inscrit MH, 7 appartements, réhabilité en 2026)</t>
        </is>
      </c>
      <c r="C551" s="25" t="inlineStr">
        <is>
          <t>https://www.histoire-patrimoine.fr/actualites/manoir-de-la-paclais-saint-herblain</t>
        </is>
      </c>
      <c r="D551" s="25" t="inlineStr">
        <is>
          <t>site d'opérateur (promoteur spécialisé)</t>
        </is>
      </c>
      <c r="E551" s="25" t="inlineStr">
        <is>
          <t>2026-10-14</t>
        </is>
      </c>
      <c r="F551" s="25" t="inlineStr">
        <is>
          <t>page_lue</t>
        </is>
      </c>
      <c r="G551" s="25" t="inlineStr">
        <is>
          <t>§1.3 exemples réels</t>
        </is>
      </c>
      <c r="H551" s="25" t="inlineStr">
        <is>
          <t>moyenne</t>
        </is>
      </c>
    </row>
    <row r="552">
      <c r="A552" s="25" t="inlineStr">
        <is>
          <t>V2D-09</t>
        </is>
      </c>
      <c r="B552" s="8" t="inlineStr">
        <is>
          <t>Histoire &amp; Patrimoine : programme Château Bon Air, Mérignac (château XVIIIe, 15 appartements, déficit foncier, dès 387 800 €, simulateur travaux 87 % / foncier 13 %)</t>
        </is>
      </c>
      <c r="C552" s="25" t="inlineStr">
        <is>
          <t>https://www.histoire-patrimoine.fr/programme-immobilier/chateau-bon-air</t>
        </is>
      </c>
      <c r="D552" s="25" t="inlineStr">
        <is>
          <t>site d'opérateur (promoteur spécialisé)</t>
        </is>
      </c>
      <c r="E552" s="25" t="inlineStr">
        <is>
          <t>2026-10-14</t>
        </is>
      </c>
      <c r="F552" s="25" t="inlineStr">
        <is>
          <t>page_lue</t>
        </is>
      </c>
      <c r="G552" s="25" t="inlineStr">
        <is>
          <t>§1.3 exemples réels</t>
        </is>
      </c>
      <c r="H552" s="25" t="inlineStr">
        <is>
          <t>moyenne</t>
        </is>
      </c>
    </row>
    <row r="553">
      <c r="A553" s="25" t="inlineStr">
        <is>
          <t>V2D-10</t>
        </is>
      </c>
      <c r="B553" s="8" t="inlineStr">
        <is>
          <t>API Recherche d'entreprises : ALTAREA GESTION IMMOBILIERE (HISTOIRE &amp; PATRIMOINE GESTION), SIREN 401165089 (CA 2025 et résultat net)</t>
        </is>
      </c>
      <c r="C553" s="25" t="inlineStr">
        <is>
          <t>https://recherche-entreprises.api.gouv.fr/search?q=histoire%20et%20patrimoine%20altarea&amp;per_page=10</t>
        </is>
      </c>
      <c r="D553" s="25" t="inlineStr">
        <is>
          <t>registre officiel (API data.gouv)</t>
        </is>
      </c>
      <c r="E553" s="25" t="inlineStr">
        <is>
          <t>2026-10-14</t>
        </is>
      </c>
      <c r="F553" s="25" t="inlineStr">
        <is>
          <t>page_lue</t>
        </is>
      </c>
      <c r="G553" s="25" t="inlineStr">
        <is>
          <t>§1.1 opérateurs</t>
        </is>
      </c>
      <c r="H553" s="25" t="inlineStr">
        <is>
          <t>haute</t>
        </is>
      </c>
    </row>
    <row r="554">
      <c r="A554" s="25" t="inlineStr">
        <is>
          <t>V2D-11</t>
        </is>
      </c>
      <c r="B554" s="8" t="inlineStr">
        <is>
          <t>Altarea Partenaires : portail des partenaires commerciaux (aucun critère d'acquisition de bâtiments publié)</t>
        </is>
      </c>
      <c r="C554" s="25" t="inlineStr">
        <is>
          <t>https://altarea-partenaires.com/</t>
        </is>
      </c>
      <c r="D554" s="25" t="inlineStr">
        <is>
          <t>site d'opérateur (portail partenaires)</t>
        </is>
      </c>
      <c r="E554" s="25" t="inlineStr">
        <is>
          <t>2026-10-14</t>
        </is>
      </c>
      <c r="F554" s="25" t="inlineStr">
        <is>
          <t>page_lue</t>
        </is>
      </c>
      <c r="G554" s="25" t="inlineStr">
        <is>
          <t>§1.1 opérateurs</t>
        </is>
      </c>
      <c r="H554" s="25" t="inlineStr">
        <is>
          <t>moyenne</t>
        </is>
      </c>
    </row>
    <row r="555">
      <c r="A555" s="25" t="inlineStr">
        <is>
          <t>V2D-12</t>
        </is>
      </c>
      <c r="B555" s="8" t="inlineStr">
        <is>
          <t xml:space="preserve">Histoire &amp; Patrimoine : article « Malraux vs Monument historique » (déduction sans limite vs réduction jusqu'à 30 % </t>
        </is>
      </c>
      <c r="C555" s="25" t="inlineStr">
        <is>
          <t xml:space="preserve"> report </t>
        </is>
      </c>
      <c r="D555" s="25" t="inlineStr">
        <is>
          <t xml:space="preserve"> transmission </t>
        </is>
      </c>
      <c r="E555" s="25" t="inlineStr">
        <is>
          <t xml:space="preserve"> non daté)</t>
        </is>
      </c>
      <c r="F555" s="25" t="inlineStr">
        <is>
          <t>https://www.histoire-patrimoine.fr/actualites/malraux-vs-monument-historique</t>
        </is>
      </c>
      <c r="G555" s="25" t="inlineStr">
        <is>
          <t>site d'opérateur (promoteur spécialisé)</t>
        </is>
      </c>
      <c r="H555" s="25" t="inlineStr">
        <is>
          <t>2026-10-14</t>
        </is>
      </c>
    </row>
    <row r="556">
      <c r="A556" s="25" t="inlineStr">
        <is>
          <t>V2D-13</t>
        </is>
      </c>
      <c r="B556" s="8" t="inlineStr">
        <is>
          <t xml:space="preserve">Galivel et Associés pour Buildinvest, communiqué « Monuments Historiques » (Journées du patrimoine 2020 </t>
        </is>
      </c>
      <c r="C556" s="25" t="inlineStr">
        <is>
          <t xml:space="preserve"> 3 programmes MH avec prix foncier + travaux) (PDF converti localement)</t>
        </is>
      </c>
      <c r="D556" s="25" t="inlineStr">
        <is>
          <t>https://www.galivel.com/media/files/vflg2_cp__monuments_historiques-1.pdf</t>
        </is>
      </c>
      <c r="E556" s="25" t="inlineStr">
        <is>
          <t>communiqué de presse d'opérateur</t>
        </is>
      </c>
      <c r="F556" s="25" t="inlineStr">
        <is>
          <t>2026-10-14</t>
        </is>
      </c>
      <c r="G556" s="25" t="inlineStr">
        <is>
          <t>page_lue</t>
        </is>
      </c>
      <c r="H556" s="25" t="inlineStr">
        <is>
          <t>§1.1 §1.3 §1.4</t>
        </is>
      </c>
    </row>
    <row r="557">
      <c r="A557" s="25" t="inlineStr">
        <is>
          <t>V2D-14</t>
        </is>
      </c>
      <c r="B557" s="8" t="inlineStr">
        <is>
          <t>API BODACC (DILA, opendatasoft) : annonces dont le commerçant contient BUILDINVEST (70 annonces, aucune procédure collective)</t>
        </is>
      </c>
      <c r="C557" s="25" t="inlineStr">
        <is>
          <t>https://bodacc-datadila.opendatasoft.com/api/explore/v2.1/catalog/datasets/annonces-commerciales/records?where=commercant%20like%20%22%25BUILDINVEST%25%22&amp;limit=100</t>
        </is>
      </c>
      <c r="D557" s="25" t="inlineStr">
        <is>
          <t>registre officiel (BODACC)</t>
        </is>
      </c>
      <c r="E557" s="25" t="inlineStr">
        <is>
          <t>2026-10-14</t>
        </is>
      </c>
      <c r="F557" s="25" t="inlineStr">
        <is>
          <t>page_lue</t>
        </is>
      </c>
      <c r="G557" s="25" t="inlineStr">
        <is>
          <t>§1.1 opérateurs</t>
        </is>
      </c>
      <c r="H557" s="25" t="inlineStr">
        <is>
          <t>haute</t>
        </is>
      </c>
    </row>
    <row r="558">
      <c r="A558" s="25" t="inlineStr">
        <is>
          <t>V2D-15</t>
        </is>
      </c>
      <c r="B558" s="8" t="inlineStr">
        <is>
          <t xml:space="preserve">Leggett Immobilier : fiche d'annonce A04312 (appartement dans un château divisé, foncier 174 600 € et travaux 544 300 € d'après le résultat de recherche </t>
        </is>
      </c>
      <c r="C558" s="25" t="inlineStr">
        <is>
          <t xml:space="preserve"> page protégée par Cloudflare, non ouverte)</t>
        </is>
      </c>
      <c r="D558" s="25" t="inlineStr">
        <is>
          <t>https://www.leggett-immo.com/allproperties/printfr_pdf/A04312/2/</t>
        </is>
      </c>
      <c r="E558" s="25" t="inlineStr">
        <is>
          <t>annonce immobilière</t>
        </is>
      </c>
      <c r="F558" s="25" t="inlineStr">
        <is>
          <t>2026-10-14</t>
        </is>
      </c>
      <c r="G558" s="25" t="inlineStr">
        <is>
          <t>extrait</t>
        </is>
      </c>
      <c r="H558" s="25" t="inlineStr">
        <is>
          <t>§1.3 prix</t>
        </is>
      </c>
    </row>
    <row r="559">
      <c r="A559" s="25" t="inlineStr">
        <is>
          <t>V2D-16</t>
        </is>
      </c>
      <c r="B559" s="8" t="inlineStr">
        <is>
          <t>BOFiP BOI-RFPI-SPEC-30-30-20181219 : MH, conditions (division, copropriété, 75 % d'habitation, conservation 15 ans), relecture ciblée § 460-560</t>
        </is>
      </c>
      <c r="C559" s="25" t="inlineStr">
        <is>
          <t>https://bofip.impots.gouv.fr/bofip/1935-PGP</t>
        </is>
      </c>
      <c r="D559" s="25" t="inlineStr">
        <is>
          <t>doctrine fiscale officielle</t>
        </is>
      </c>
      <c r="E559" s="25" t="inlineStr">
        <is>
          <t>2026-10-14</t>
        </is>
      </c>
      <c r="F559" s="25" t="inlineStr">
        <is>
          <t>page_lue</t>
        </is>
      </c>
      <c r="G559" s="25" t="inlineStr">
        <is>
          <t>§1.4 §1.6</t>
        </is>
      </c>
      <c r="H559" s="25" t="inlineStr">
        <is>
          <t>haute</t>
        </is>
      </c>
    </row>
    <row r="560">
      <c r="A560" s="25" t="inlineStr">
        <is>
          <t>V2D-17</t>
        </is>
      </c>
      <c r="B560" s="8" t="inlineStr">
        <is>
          <t>Assemblée nationale, question écrite n° 43918 (B. Kuster, JO 01/02/2022 p. 588) : suppression de l'agrément de 2017, lotissement des MH, domaine de Grignon (retirée le 21/06/2022) (PDF converti localement)</t>
        </is>
      </c>
      <c r="C560" s="25" t="inlineStr">
        <is>
          <t>https://questions.assemblee-nationale.fr/dyn/15/questions/QANR5L15QE43918.pdf</t>
        </is>
      </c>
      <c r="D560" s="25" t="inlineStr">
        <is>
          <t>document parlementaire</t>
        </is>
      </c>
      <c r="E560" s="25" t="inlineStr">
        <is>
          <t>2026-10-14</t>
        </is>
      </c>
      <c r="F560" s="25" t="inlineStr">
        <is>
          <t>page_lue</t>
        </is>
      </c>
      <c r="G560" s="25" t="inlineStr">
        <is>
          <t>§1.5</t>
        </is>
      </c>
      <c r="H560" s="25" t="inlineStr">
        <is>
          <t>haute</t>
        </is>
      </c>
    </row>
    <row r="561">
      <c r="A561" s="25" t="inlineStr">
        <is>
          <t>V2D-18</t>
        </is>
      </c>
      <c r="B561" s="8" t="inlineStr">
        <is>
          <t>DVF géolocalisées (data.gouv.fr, geo-dvf) : mutations 2021-2025 de Saint-Herblain (44162), lieu-dit La Paclais, section DZ (fichiers CSV lus localement)</t>
        </is>
      </c>
      <c r="C561" s="25" t="inlineStr">
        <is>
          <t>https://files.data.gouv.fr/geo-dvf/latest/csv/2021/communes/44/44162.csv</t>
        </is>
      </c>
      <c r="D561" s="25" t="inlineStr">
        <is>
          <t>données publiques officielles (DGFiP, Etalab)</t>
        </is>
      </c>
      <c r="E561" s="25" t="inlineStr">
        <is>
          <t>2026-10-14</t>
        </is>
      </c>
      <c r="F561" s="25" t="inlineStr">
        <is>
          <t>page_lue</t>
        </is>
      </c>
      <c r="G561" s="25" t="inlineStr">
        <is>
          <t>§1.6 prix d'achat (attribution non confirmée)</t>
        </is>
      </c>
      <c r="H561" s="25" t="inlineStr">
        <is>
          <t>haute</t>
        </is>
      </c>
    </row>
    <row r="562">
      <c r="A562" s="25" t="inlineStr">
        <is>
          <t>V2D-19</t>
        </is>
      </c>
      <c r="B562" s="8" t="inlineStr">
        <is>
          <t>BOFiP BOI-ENR-DMTG-10-40-10-50-20131223 : démembrement du droit de propriété (barème de l'article 669 CGI, usufruit à durée fixe 23 % par période de dix ans)</t>
        </is>
      </c>
      <c r="C562" s="25" t="inlineStr">
        <is>
          <t>https://bofip.impots.gouv.fr/bofip/2323-PGP.html/identifiant%3DBOI-ENR-DMTG-10-40-10-50-20131223</t>
        </is>
      </c>
      <c r="D562" s="25" t="inlineStr">
        <is>
          <t>doctrine fiscale officielle</t>
        </is>
      </c>
      <c r="E562" s="25" t="inlineStr">
        <is>
          <t>2026-10-14</t>
        </is>
      </c>
      <c r="F562" s="25" t="inlineStr">
        <is>
          <t>page_lue</t>
        </is>
      </c>
      <c r="G562" s="25" t="inlineStr">
        <is>
          <t>§3.1 §3.2</t>
        </is>
      </c>
      <c r="H562" s="25" t="inlineStr">
        <is>
          <t>haute</t>
        </is>
      </c>
    </row>
    <row r="563">
      <c r="A563" s="25" t="inlineStr">
        <is>
          <t>V2D-20</t>
        </is>
      </c>
      <c r="B563" s="8" t="inlineStr">
        <is>
          <t>BOFiP BOI-PAT-IFI-20-20-30-10-20180608 : IFI des biens démembrés (exception de la vente avec réserve d'usufruit, § 160-170)</t>
        </is>
      </c>
      <c r="C563" s="25" t="inlineStr">
        <is>
          <t>https://bofip.impots.gouv.fr/bofip/11310-PGP.html/identifiant%3DBOI-PAT-IFI-20-20-30-10-20180608</t>
        </is>
      </c>
      <c r="D563" s="25" t="inlineStr">
        <is>
          <t>doctrine fiscale officielle</t>
        </is>
      </c>
      <c r="E563" s="25" t="inlineStr">
        <is>
          <t>2026-10-14</t>
        </is>
      </c>
      <c r="F563" s="25" t="inlineStr">
        <is>
          <t>page_lue</t>
        </is>
      </c>
      <c r="G563" s="25" t="inlineStr">
        <is>
          <t>§3.2 IFI</t>
        </is>
      </c>
      <c r="H563" s="25" t="inlineStr">
        <is>
          <t>haute</t>
        </is>
      </c>
    </row>
    <row r="564">
      <c r="A564" s="25" t="inlineStr">
        <is>
          <t>V2D-21</t>
        </is>
      </c>
      <c r="B564" s="8" t="inlineStr">
        <is>
          <t>BOFiP BOI-IR-BASE-10-10-30-20170406 : imposition du produit de la cession à titre onéreux d'un usufruit temporaire (art. 13, 5 CGI)</t>
        </is>
      </c>
      <c r="C564" s="25" t="inlineStr">
        <is>
          <t>https://bofip.impots.gouv.fr/bofip/10233-PGP.html/identifiant%3DBOI-IR-BASE-10-10-30-20170406</t>
        </is>
      </c>
      <c r="D564" s="25" t="inlineStr">
        <is>
          <t>doctrine fiscale officielle</t>
        </is>
      </c>
      <c r="E564" s="25" t="inlineStr">
        <is>
          <t>2026-10-14</t>
        </is>
      </c>
      <c r="F564" s="25" t="inlineStr">
        <is>
          <t>page_lue</t>
        </is>
      </c>
      <c r="G564" s="25" t="inlineStr">
        <is>
          <t>§3.2 option B</t>
        </is>
      </c>
      <c r="H564" s="25" t="inlineStr">
        <is>
          <t>haute</t>
        </is>
      </c>
    </row>
    <row r="565">
      <c r="A565" s="25" t="inlineStr">
        <is>
          <t>V2D-22</t>
        </is>
      </c>
      <c r="B565" s="8" t="inlineStr">
        <is>
          <t>Service-public : Droits de donation, calcul et paiement (F14205, vérifié le 15/01/2026) : renvoi au simulateur pour le barème usufruit / nue-propriété</t>
        </is>
      </c>
      <c r="C565" s="25" t="inlineStr">
        <is>
          <t>https://www.service-public.gouv.fr/particuliers/vosdroits/F14205</t>
        </is>
      </c>
      <c r="D565" s="25" t="inlineStr">
        <is>
          <t>site officiel administration</t>
        </is>
      </c>
      <c r="E565" s="25" t="inlineStr">
        <is>
          <t>2026-10-14</t>
        </is>
      </c>
      <c r="F565" s="25" t="inlineStr">
        <is>
          <t>page_lue</t>
        </is>
      </c>
      <c r="G565" s="25" t="inlineStr">
        <is>
          <t>§3.1 (barème non reproduit)</t>
        </is>
      </c>
      <c r="H565" s="25" t="inlineStr">
        <is>
          <t>haute</t>
        </is>
      </c>
    </row>
    <row r="566">
      <c r="A566" s="25" t="inlineStr">
        <is>
          <t>V2D-23</t>
        </is>
      </c>
      <c r="B566" s="8" t="inlineStr">
        <is>
          <t xml:space="preserve">Le Collectionist : page « propriétaires » (plus de 2 000 propriétaires accompagnés </t>
        </is>
      </c>
      <c r="C566" s="25" t="inlineStr">
        <is>
          <t xml:space="preserve"> aucune commission ni taux de remplissage publiés)</t>
        </is>
      </c>
      <c r="D566" s="25" t="inlineStr">
        <is>
          <t>https://www.lecollectionist.com/fr/proprietaires</t>
        </is>
      </c>
      <c r="E566" s="25" t="inlineStr">
        <is>
          <t>site de plateforme de location de luxe</t>
        </is>
      </c>
      <c r="F566" s="25" t="inlineStr">
        <is>
          <t>2026-10-14</t>
        </is>
      </c>
      <c r="G566" s="25" t="inlineStr">
        <is>
          <t>page_lue</t>
        </is>
      </c>
      <c r="H566" s="25" t="inlineStr">
        <is>
          <t>§4.2 commission</t>
        </is>
      </c>
    </row>
    <row r="567">
      <c r="A567" s="25" t="inlineStr">
        <is>
          <t>V2D-24</t>
        </is>
      </c>
      <c r="B567" s="8" t="inlineStr">
        <is>
          <t>Tech.eu (19/09/2017) : « Parisian luxury vacation rental platform Le Collectionist raises $10 million » (commission de 20 %, 26 000 € en moyenne pour 10 nuits)</t>
        </is>
      </c>
      <c r="C567" s="25" t="inlineStr">
        <is>
          <t>https://tech.eu/2017/09/19/lecollectionist-raises-funds/</t>
        </is>
      </c>
      <c r="D567" s="25" t="inlineStr">
        <is>
          <t>presse économique en ligne</t>
        </is>
      </c>
      <c r="E567" s="25" t="inlineStr">
        <is>
          <t>2026-10-14</t>
        </is>
      </c>
      <c r="F567" s="25" t="inlineStr">
        <is>
          <t>page_lue</t>
        </is>
      </c>
      <c r="G567" s="25" t="inlineStr">
        <is>
          <t>§4.2 commission</t>
        </is>
      </c>
      <c r="H567" s="25" t="inlineStr">
        <is>
          <t>moyenne</t>
        </is>
      </c>
    </row>
    <row r="568">
      <c r="A568" s="25" t="inlineStr">
        <is>
          <t>V2D-25</t>
        </is>
      </c>
      <c r="B568" s="8" t="inlineStr">
        <is>
          <t>The Connexion (26/10/2020) : « Introducing Le Collectionist, the luxury rental home company » (commission de 22 %, 25 000 € par semaine en moyenne, 5 000 € de conciergerie, environ 10 biens retenus sur 100 demandes)</t>
        </is>
      </c>
      <c r="C568" s="25" t="inlineStr">
        <is>
          <t>https://www.connexionfrance.com/article/Mag/Explore-France/Introducing-Le-Collectionist-the-luxury-rental-home-company</t>
        </is>
      </c>
      <c r="D568" s="25" t="inlineStr">
        <is>
          <t>presse (journal anglophone en France)</t>
        </is>
      </c>
      <c r="E568" s="25" t="inlineStr">
        <is>
          <t>2026-10-14</t>
        </is>
      </c>
      <c r="F568" s="25" t="inlineStr">
        <is>
          <t>page_lue</t>
        </is>
      </c>
      <c r="G568" s="25" t="inlineStr">
        <is>
          <t>§4.2 §4.3</t>
        </is>
      </c>
      <c r="H568" s="25" t="inlineStr">
        <is>
          <t>moyenne</t>
        </is>
      </c>
    </row>
    <row r="569">
      <c r="A569" s="25" t="inlineStr">
        <is>
          <t>V2D-26</t>
        </is>
      </c>
      <c r="B569" s="8" t="inlineStr">
        <is>
          <t>Rental Scale-Up (U. Wahi, 25/11/2025) : stratégie d'acquisitions de Le Collectionist (GBV 160 M€ prévu en 2024, plus de 3 000 propriétés, environ 5 000 réservations en 2023, acquisitions avec GBV et nombre de maisons)</t>
        </is>
      </c>
      <c r="C569" s="25" t="inlineStr">
        <is>
          <t>https://www.rentalscaleup.com/fr/decouvrez-le-playbook-detaille-de-fusions-acquisitions-ma-de-le-collectionist-sur-le-marche-de-la-location-de-luxe/</t>
        </is>
      </c>
      <c r="D569" s="25" t="inlineStr">
        <is>
          <t>presse spécialisée (location de vacances)</t>
        </is>
      </c>
      <c r="E569" s="25" t="inlineStr">
        <is>
          <t>2026-10-14</t>
        </is>
      </c>
      <c r="F569" s="25" t="inlineStr">
        <is>
          <t>page_lue</t>
        </is>
      </c>
      <c r="G569" s="25" t="inlineStr">
        <is>
          <t>§4.3 semaines louées</t>
        </is>
      </c>
      <c r="H569" s="25" t="inlineStr">
        <is>
          <t>moyenne</t>
        </is>
      </c>
    </row>
    <row r="570">
      <c r="A570" s="25" t="inlineStr">
        <is>
          <t>V2D-27</t>
        </is>
      </c>
      <c r="B570" s="8" t="inlineStr">
        <is>
          <t xml:space="preserve">API Recherche d'entreprises : LE COLLECTIONIST, SIREN 789370152 (NAF 79.11Z, créée le 12/11/2012 </t>
        </is>
      </c>
      <c r="C570" s="25" t="inlineStr">
        <is>
          <t xml:space="preserve"> finances non publiées)</t>
        </is>
      </c>
      <c r="D570" s="25" t="inlineStr">
        <is>
          <t>https://recherche-entreprises.api.gouv.fr/search?q=le%20collectionist&amp;per_page=10</t>
        </is>
      </c>
      <c r="E570" s="25" t="inlineStr">
        <is>
          <t>registre officiel (API data.gouv)</t>
        </is>
      </c>
      <c r="F570" s="25" t="inlineStr">
        <is>
          <t>2026-10-14</t>
        </is>
      </c>
      <c r="G570" s="25" t="inlineStr">
        <is>
          <t>page_lue</t>
        </is>
      </c>
      <c r="H570" s="25" t="inlineStr">
        <is>
          <t>§4.2 comptes</t>
        </is>
      </c>
    </row>
    <row r="571">
      <c r="A571" s="25" t="inlineStr">
        <is>
          <t>V2D-28</t>
        </is>
      </c>
      <c r="B571" s="8" t="inlineStr">
        <is>
          <t xml:space="preserve">Oliver's Travels : page « List your home » (commission seule, sans frais d'inscription </t>
        </is>
      </c>
      <c r="C571" s="25" t="inlineStr">
        <is>
          <t xml:space="preserve"> études de cas d'occupation 62-80 % </t>
        </is>
      </c>
      <c r="D571" s="25" t="inlineStr">
        <is>
          <t xml:space="preserve"> 6 semaines minimum en juillet-août en France </t>
        </is>
      </c>
      <c r="E571" s="25" t="inlineStr">
        <is>
          <t xml:space="preserve"> contrat d'un an)</t>
        </is>
      </c>
      <c r="F571" s="25" t="inlineStr">
        <is>
          <t>https://www.oliverstravels.com/list-your-home/</t>
        </is>
      </c>
      <c r="G571" s="25" t="inlineStr">
        <is>
          <t>site de plateforme de location de luxe</t>
        </is>
      </c>
      <c r="H571" s="25" t="inlineStr">
        <is>
          <t>2026-10-14</t>
        </is>
      </c>
    </row>
    <row r="572">
      <c r="A572" s="25" t="inlineStr">
        <is>
          <t>V2D-29</t>
        </is>
      </c>
      <c r="B572" s="8" t="inlineStr">
        <is>
          <t>Oliver's Travels : « French chateaux to rent » (6 châteaux mis en avant, capacité 10 à 20 personnes, prix non affichés)</t>
        </is>
      </c>
      <c r="C572" s="25" t="inlineStr">
        <is>
          <t>https://www.oliverstravels.com/french-chateaux-to-rent/</t>
        </is>
      </c>
      <c r="D572" s="25" t="inlineStr">
        <is>
          <t>site de plateforme de location de luxe</t>
        </is>
      </c>
      <c r="E572" s="25" t="inlineStr">
        <is>
          <t>2026-10-14</t>
        </is>
      </c>
      <c r="F572" s="25" t="inlineStr">
        <is>
          <t>page_lue</t>
        </is>
      </c>
      <c r="G572" s="25" t="inlineStr">
        <is>
          <t>§4.1 offre</t>
        </is>
      </c>
      <c r="H572" s="25" t="inlineStr">
        <is>
          <t>moyenne</t>
        </is>
      </c>
    </row>
    <row r="573">
      <c r="A573" s="25" t="inlineStr">
        <is>
          <t>V2D-30</t>
        </is>
      </c>
      <c r="B573" s="8" t="inlineStr">
        <is>
          <t xml:space="preserve">SeLoger (édito) : « Viager occupé ou nue-propriété : quelle option choisir pour investir » (décote d'environ 30 % en moyenne selon le résultat de recherche </t>
        </is>
      </c>
      <c r="C573" s="25" t="inlineStr">
        <is>
          <t xml:space="preserve"> page non ouverte)</t>
        </is>
      </c>
      <c r="D573" s="25" t="inlineStr">
        <is>
          <t>https://edito.seloger.com/conseils-d-experts/viager/viager-occupe-ou-nue-propriete-quelle-option-choisir-pour-investir-dans-l-immobilier-article-4224.html</t>
        </is>
      </c>
      <c r="E573" s="25" t="inlineStr">
        <is>
          <t>presse immobilière en ligne</t>
        </is>
      </c>
      <c r="F573" s="25" t="inlineStr">
        <is>
          <t>2026-10-14</t>
        </is>
      </c>
      <c r="G573" s="25" t="inlineStr">
        <is>
          <t>extrait</t>
        </is>
      </c>
      <c r="H573" s="25" t="inlineStr">
        <is>
          <t>§3.4 marché</t>
        </is>
      </c>
    </row>
    <row r="574">
      <c r="A574" s="25" t="inlineStr">
        <is>
          <t>V2D-31</t>
        </is>
      </c>
      <c r="B574" s="8" t="inlineStr">
        <is>
          <t xml:space="preserve">Airbnb, centre d'aide : « Airbnb service fees » (frais hôte 3 % en formule partagée </t>
        </is>
      </c>
      <c r="C574" s="25" t="inlineStr">
        <is>
          <t xml:space="preserve"> 15,5 % en formule hôte seul </t>
        </is>
      </c>
      <c r="D574" s="25" t="inlineStr">
        <is>
          <t xml:space="preserve"> Airbnb Luxe non mentionné)</t>
        </is>
      </c>
      <c r="E574" s="25" t="inlineStr">
        <is>
          <t>https://www.airbnb.com/help/article/1857</t>
        </is>
      </c>
      <c r="F574" s="25" t="inlineStr">
        <is>
          <t>site de plateforme de location</t>
        </is>
      </c>
      <c r="G574" s="25" t="inlineStr">
        <is>
          <t>2026-10-14</t>
        </is>
      </c>
      <c r="H574" s="25" t="inlineStr">
        <is>
          <t>page_lue</t>
        </is>
      </c>
    </row>
    <row r="575">
      <c r="A575" s="25" t="inlineStr">
        <is>
          <t>V2D-32</t>
        </is>
      </c>
      <c r="B575" s="8" t="inlineStr">
        <is>
          <t>Service-public : Faire de sa résidence principale une location de vacances (meublé de tourisme) (F33175, vérifié le 21/05/2026)</t>
        </is>
      </c>
      <c r="C575" s="25" t="inlineStr">
        <is>
          <t>https://www.service-public.gouv.fr/particuliers/vosdroits/F33175</t>
        </is>
      </c>
      <c r="D575" s="25" t="inlineStr">
        <is>
          <t>site officiel administration</t>
        </is>
      </c>
      <c r="E575" s="25" t="inlineStr">
        <is>
          <t>2026-10-14</t>
        </is>
      </c>
      <c r="F575" s="25" t="inlineStr">
        <is>
          <t>page_lue</t>
        </is>
      </c>
      <c r="G575" s="25" t="inlineStr">
        <is>
          <t>§4.5 fiscalité et limites</t>
        </is>
      </c>
      <c r="H575" s="25" t="inlineStr">
        <is>
          <t>haute</t>
        </is>
      </c>
    </row>
    <row r="576">
      <c r="A576" s="25" t="inlineStr">
        <is>
          <t>V2D-33</t>
        </is>
      </c>
      <c r="B576" s="8" t="inlineStr">
        <is>
          <t>Pretto (C. Brezeky, 04/06/2025, mis à jour 18/09/2026) : « Résidence secondaire : cette nouvelle façon d'en profiter sans exploser son budget » (Lazazu, SCI, 8 parts par maison, dès 250 000 €)</t>
        </is>
      </c>
      <c r="C576" s="25" t="inlineStr">
        <is>
          <t>https://www.pretto.fr/actualites/actualites-2025/ils-ont-acheter-a-plusieurs-residence-secondaire/</t>
        </is>
      </c>
      <c r="D576" s="25" t="inlineStr">
        <is>
          <t>presse en ligne (courtier immobilier)</t>
        </is>
      </c>
      <c r="E576" s="25" t="inlineStr">
        <is>
          <t>2026-10-14</t>
        </is>
      </c>
      <c r="F576" s="25" t="inlineStr">
        <is>
          <t>page_lue</t>
        </is>
      </c>
      <c r="G576" s="25" t="inlineStr">
        <is>
          <t>§5 copropriété partagée</t>
        </is>
      </c>
      <c r="H576" s="25" t="inlineStr">
        <is>
          <t>moyenne</t>
        </is>
      </c>
    </row>
    <row r="577">
      <c r="A577" s="25" t="inlineStr">
        <is>
          <t>V2D-34</t>
        </is>
      </c>
      <c r="B577" s="8" t="inlineStr">
        <is>
          <t>Wargny-Lelong et associés, notaires : dépliant « La maison de famille » (indivision contre SCI, gouvernance, clauses d'agrément) (PDF converti localement)</t>
        </is>
      </c>
      <c r="C577" s="25" t="inlineStr">
        <is>
          <t>https://www.wargny-lelong.notaires.fr/depliants-dinformation/gestion-de-patrimoine/la-maison-de-famille/?pdf=778</t>
        </is>
      </c>
      <c r="D577" s="25" t="inlineStr">
        <is>
          <t>office notarial</t>
        </is>
      </c>
      <c r="E577" s="25" t="inlineStr">
        <is>
          <t>2026-10-14</t>
        </is>
      </c>
      <c r="F577" s="25" t="inlineStr">
        <is>
          <t>page_lue</t>
        </is>
      </c>
      <c r="G577" s="25" t="inlineStr">
        <is>
          <t>§5 gouvernance</t>
        </is>
      </c>
      <c r="H577" s="25" t="inlineStr">
        <is>
          <t>haute</t>
        </is>
      </c>
    </row>
    <row r="578">
      <c r="A578" s="25" t="inlineStr">
        <is>
          <t>V2D-35</t>
        </is>
      </c>
      <c r="B578" s="8" t="inlineStr">
        <is>
          <t>Le Collectionist : fiche Château Montravel (environs de Bordeaux), 8 chambres, 15 570 à 29 335 € par semaine (octobre 2026)</t>
        </is>
      </c>
      <c r="C578" s="25" t="inlineStr">
        <is>
          <t>https://www.lecollectionist.com/fr/location-luxe/chateau-montravel-environs-de-bordeaux</t>
        </is>
      </c>
      <c r="D578" s="25" t="inlineStr">
        <is>
          <t>site de plateforme de location de luxe</t>
        </is>
      </c>
      <c r="E578" s="25" t="inlineStr">
        <is>
          <t>2026-10-14</t>
        </is>
      </c>
      <c r="F578" s="25" t="inlineStr">
        <is>
          <t>page_lue</t>
        </is>
      </c>
      <c r="G578" s="25" t="inlineStr">
        <is>
          <t>§4.1 §4.4</t>
        </is>
      </c>
      <c r="H578" s="25" t="inlineStr">
        <is>
          <t>moyenne</t>
        </is>
      </c>
    </row>
    <row r="579">
      <c r="A579" s="25" t="inlineStr">
        <is>
          <t>V2D-36</t>
        </is>
      </c>
      <c r="B579" s="8" t="inlineStr">
        <is>
          <t>Le Collectionist : fiche Château Renaissance (Dordogne), 9 chambres, 12 755 à 15 045 € par semaine sur les semaines affichées (octobre 2026)</t>
        </is>
      </c>
      <c r="C579" s="25" t="inlineStr">
        <is>
          <t>https://www.lecollectionist.com/fr/location-luxe/chateau-renaissance-dordogne-perigord</t>
        </is>
      </c>
      <c r="D579" s="25" t="inlineStr">
        <is>
          <t>site de plateforme de location de luxe</t>
        </is>
      </c>
      <c r="E579" s="25" t="inlineStr">
        <is>
          <t>2026-10-14</t>
        </is>
      </c>
      <c r="F579" s="25" t="inlineStr">
        <is>
          <t>page_lue</t>
        </is>
      </c>
      <c r="G579" s="25" t="inlineStr">
        <is>
          <t>§4.1</t>
        </is>
      </c>
      <c r="H579" s="25" t="inlineStr">
        <is>
          <t>moyenne</t>
        </is>
      </c>
    </row>
    <row r="580">
      <c r="A580" s="25" t="inlineStr">
        <is>
          <t>V2D-37</t>
        </is>
      </c>
      <c r="B580" s="8" t="inlineStr">
        <is>
          <t>Le Collectionist : fiche Château de la Belle (Dordogne), 11 chambres, 1 850 m², 35 265 à 46 860 € par semaine (octobre 2026)</t>
        </is>
      </c>
      <c r="C580" s="25" t="inlineStr">
        <is>
          <t>https://www.lecollectionist.com/fr/location-luxe/chateau-de-la-belle-dordogne-perigord</t>
        </is>
      </c>
      <c r="D580" s="25" t="inlineStr">
        <is>
          <t>site de plateforme de location de luxe</t>
        </is>
      </c>
      <c r="E580" s="25" t="inlineStr">
        <is>
          <t>2026-10-14</t>
        </is>
      </c>
      <c r="F580" s="25" t="inlineStr">
        <is>
          <t>page_lue</t>
        </is>
      </c>
      <c r="G580" s="25" t="inlineStr">
        <is>
          <t>§4.1 §4.4</t>
        </is>
      </c>
      <c r="H580" s="25" t="inlineStr">
        <is>
          <t>moyenne</t>
        </is>
      </c>
    </row>
    <row r="581">
      <c r="A581" s="25" t="inlineStr">
        <is>
          <t>V2D-38</t>
        </is>
      </c>
      <c r="B581" s="8" t="inlineStr">
        <is>
          <t>Le Collectionist : fiche Château Hippolyte (environs de Bordeaux), 14 chambres, 36 615 € par semaine (octobre 2026)</t>
        </is>
      </c>
      <c r="C581" s="25" t="inlineStr">
        <is>
          <t>https://www.lecollectionist.com/fr/location-luxe/chateau-hippolyte-environs-de-bordeaux</t>
        </is>
      </c>
      <c r="D581" s="25" t="inlineStr">
        <is>
          <t>site de plateforme de location de luxe</t>
        </is>
      </c>
      <c r="E581" s="25" t="inlineStr">
        <is>
          <t>2026-10-14</t>
        </is>
      </c>
      <c r="F581" s="25" t="inlineStr">
        <is>
          <t>page_lue</t>
        </is>
      </c>
      <c r="G581" s="25" t="inlineStr">
        <is>
          <t>§4.1 §4.4</t>
        </is>
      </c>
      <c r="H581" s="25" t="inlineStr">
        <is>
          <t>moyenne</t>
        </is>
      </c>
    </row>
    <row r="582">
      <c r="A582" s="25" t="inlineStr">
        <is>
          <t>V2D-39</t>
        </is>
      </c>
      <c r="B582" s="8" t="inlineStr">
        <is>
          <t>Résultats de recherche (WebSearch) sur les semaines louées par des propriétaires de châteaux : aucune donnée chiffrée (articles Le Temps, Journal de Morges, Galivel 2011 vus en résultats)</t>
        </is>
      </c>
      <c r="C582" s="25" t="inlineStr">
        <is>
          <t>https://www.letemps.ch/societe/dyverdon-davos-chateaux-louer</t>
        </is>
      </c>
      <c r="D582" s="25" t="inlineStr">
        <is>
          <t>résultat de recherche</t>
        </is>
      </c>
      <c r="E582" s="25" t="inlineStr">
        <is>
          <t>2026-10-14</t>
        </is>
      </c>
      <c r="F582" s="25" t="inlineStr">
        <is>
          <t>extrait</t>
        </is>
      </c>
      <c r="G582" s="25" t="inlineStr">
        <is>
          <t>§4.3 (absence de données)</t>
        </is>
      </c>
      <c r="H582" s="25" t="inlineStr">
        <is>
          <t>faible</t>
        </is>
      </c>
    </row>
    <row r="583">
      <c r="A583" s="25" t="inlineStr">
        <is>
          <t>V2D-40</t>
        </is>
      </c>
      <c r="B583" s="8" t="inlineStr">
        <is>
          <t>Le Collectionist : page destination Dordogne-Périgord (9 châteaux et domaines, capacité, chambres, salles de bains, piscine)</t>
        </is>
      </c>
      <c r="C583" s="25" t="inlineStr">
        <is>
          <t>https://lecollectionist.com/fr/location-villas-luxe/dordogne-perigord</t>
        </is>
      </c>
      <c r="D583" s="25" t="inlineStr">
        <is>
          <t>site de plateforme de location de luxe</t>
        </is>
      </c>
      <c r="E583" s="25" t="inlineStr">
        <is>
          <t>2026-10-14</t>
        </is>
      </c>
      <c r="F583" s="25" t="inlineStr">
        <is>
          <t>page_lue</t>
        </is>
      </c>
      <c r="G583" s="25" t="inlineStr">
        <is>
          <t>§4.4 exigences</t>
        </is>
      </c>
      <c r="H583" s="25" t="inlineStr">
        <is>
          <t>moyenne</t>
        </is>
      </c>
    </row>
    <row r="584">
      <c r="A584" s="25" t="inlineStr">
        <is>
          <t>V2D-41</t>
        </is>
      </c>
      <c r="B584" s="8" t="inlineStr">
        <is>
          <t>Le Collectionist : page destination Environs de Bordeaux (6 châteaux et domaines, capacité, chambres, salles de bains, piscine)</t>
        </is>
      </c>
      <c r="C584" s="25" t="inlineStr">
        <is>
          <t>https://lecollectionist.com/fr/location-villas-luxe/environs-de-bordeaux</t>
        </is>
      </c>
      <c r="D584" s="25" t="inlineStr">
        <is>
          <t>site de plateforme de location de luxe</t>
        </is>
      </c>
      <c r="E584" s="25" t="inlineStr">
        <is>
          <t>2026-10-14</t>
        </is>
      </c>
      <c r="F584" s="25" t="inlineStr">
        <is>
          <t>page_lue</t>
        </is>
      </c>
      <c r="G584" s="25" t="inlineStr">
        <is>
          <t>§4.4 exigences</t>
        </is>
      </c>
      <c r="H584" s="25" t="inlineStr">
        <is>
          <t>moyenne</t>
        </is>
      </c>
    </row>
    <row r="585">
      <c r="A585" s="25" t="inlineStr">
        <is>
          <t>V2D-42</t>
        </is>
      </c>
      <c r="B585" s="8" t="inlineStr">
        <is>
          <t xml:space="preserve">API Recherche d'entreprises : requête « histoire et patrimoine » (454 résultats </t>
        </is>
      </c>
      <c r="C585" s="25" t="inlineStr">
        <is>
          <t xml:space="preserve"> comptes 2025 publiés de 7 sociétés Histoire &amp; Patrimoine du groupe Altarea)</t>
        </is>
      </c>
      <c r="D585" s="25" t="inlineStr">
        <is>
          <t>https://recherche-entreprises.api.gouv.fr/search?q=histoire%20et%20patrimoine&amp;per_page=25</t>
        </is>
      </c>
      <c r="E585" s="25" t="inlineStr">
        <is>
          <t>registre officiel (API data.gouv)</t>
        </is>
      </c>
      <c r="F585" s="25" t="inlineStr">
        <is>
          <t>2026-10-14</t>
        </is>
      </c>
      <c r="G585" s="25" t="inlineStr">
        <is>
          <t>page_lue</t>
        </is>
      </c>
      <c r="H585" s="25" t="inlineStr">
        <is>
          <t>§1.1 opérateurs (comptes)</t>
        </is>
      </c>
    </row>
    <row r="586">
      <c r="A586" s="25" t="inlineStr">
        <is>
          <t>V2D-43</t>
        </is>
      </c>
      <c r="B586" s="8" t="inlineStr">
        <is>
          <t xml:space="preserve">Batiweb (C. Decambu, 24/09/2019, mis à jour 01/05/2025) : « Un collectif rachète le château de Panat pour en faire une coopérative d'habitants » (L'Isle-Jourdain, Gers </t>
        </is>
      </c>
      <c r="C586" s="25" t="inlineStr">
        <is>
          <t xml:space="preserve"> 14 logements </t>
        </is>
      </c>
      <c r="D586" s="25" t="inlineStr">
        <is>
          <t xml:space="preserve"> 1 500 m² </t>
        </is>
      </c>
      <c r="E586" s="25" t="inlineStr">
        <is>
          <t xml:space="preserve"> travaux 1,5 M€)</t>
        </is>
      </c>
      <c r="F586" s="25" t="inlineStr">
        <is>
          <t>https://www.batiweb.com/actualites/vie-pratique/un-collectif-rachete-le-chateau-de-panat-pour-en-faire-une-cooperative-d-habitants-35254</t>
        </is>
      </c>
      <c r="G586" s="25" t="inlineStr">
        <is>
          <t>presse professionnelle du bâtiment</t>
        </is>
      </c>
      <c r="H586" s="25" t="inlineStr">
        <is>
          <t>2026-10-14</t>
        </is>
      </c>
    </row>
    <row r="587">
      <c r="A587" s="25" t="inlineStr">
        <is>
          <t>V2D-44</t>
        </is>
      </c>
      <c r="B587" s="8" t="inlineStr">
        <is>
          <t>MySweetImmo et Perigord Sotheby's International Realty (22/11/2023) : « Dordogne : appartements et maison en copropriété au château Monboucher » (12 logements, 640 000 € et 960 000 €, pièces communes)</t>
        </is>
      </c>
      <c r="C587" s="25" t="inlineStr">
        <is>
          <t>https://www.mysweetimmo.com/2023/11/22/dordogne-appartements-et-maison-en-copropriete-au-chateau-monboucher/</t>
        </is>
      </c>
      <c r="D587" s="25" t="inlineStr">
        <is>
          <t>presse immobilière en ligne (contenu d'agence)</t>
        </is>
      </c>
      <c r="E587" s="25" t="inlineStr">
        <is>
          <t>2026-10-14</t>
        </is>
      </c>
      <c r="F587" s="25" t="inlineStr">
        <is>
          <t>page_lue</t>
        </is>
      </c>
      <c r="G587" s="25" t="inlineStr">
        <is>
          <t>§5 exemples</t>
        </is>
      </c>
      <c r="H587" s="25" t="inlineStr">
        <is>
          <t>faible</t>
        </is>
      </c>
    </row>
    <row r="588">
      <c r="A588" s="25" t="inlineStr">
        <is>
          <t>V2D-45</t>
        </is>
      </c>
      <c r="B588" s="8" t="inlineStr">
        <is>
          <t>Galivel et Associés pour Sarthe Society, communiqué du 12/12/2023 : « Crowdfunding et Monument Historique » (château Fontenay, Sarthe, 11,6 ha, levée de 690 000 € en obligations à 7 % sur Bricks.co, valeur du château environ 2 M€) (PDF converti localement)</t>
        </is>
      </c>
      <c r="C588" s="25" t="inlineStr">
        <is>
          <t>https://galivel.com/media/files/12__cp__ils_le__vent_310_000__en_12h___booster_son_e__pargne_tout_en_sauvegardant_le_patrimoine.pdf</t>
        </is>
      </c>
      <c r="D588" s="25" t="inlineStr">
        <is>
          <t>communiqué de presse de porteur de projet</t>
        </is>
      </c>
      <c r="E588" s="25" t="inlineStr">
        <is>
          <t>2026-10-14</t>
        </is>
      </c>
      <c r="F588" s="25" t="inlineStr">
        <is>
          <t>page_lue</t>
        </is>
      </c>
      <c r="G588" s="25" t="inlineStr">
        <is>
          <t>§6 autres mécanismes</t>
        </is>
      </c>
      <c r="H588" s="25" t="inlineStr">
        <is>
          <t>faible</t>
        </is>
      </c>
    </row>
    <row r="589">
      <c r="A589" s="25" t="inlineStr">
        <is>
          <t>V2D-46</t>
        </is>
      </c>
      <c r="B589" s="8" t="inlineStr">
        <is>
          <t xml:space="preserve">API BODACC (DILA, opendatasoft) : annonces SARTHE SOCIETY, SIREN 980419436 (4 annonces : création 2023, modification 2024, dépôts de comptes 2025 et 2026 </t>
        </is>
      </c>
      <c r="C589" s="25" t="inlineStr">
        <is>
          <t xml:space="preserve"> aucune procédure collective)</t>
        </is>
      </c>
      <c r="D589" s="25" t="inlineStr">
        <is>
          <t>https://bodacc-datadila.opendatasoft.com/api/explore/v2.1/catalog/datasets/annonces-commerciales/records?where=commercant%20like%20%22%25SARTHE%20SOCIETY%25%22&amp;limit=50</t>
        </is>
      </c>
      <c r="E589" s="25" t="inlineStr">
        <is>
          <t>registre officiel (BODACC)</t>
        </is>
      </c>
      <c r="F589" s="25" t="inlineStr">
        <is>
          <t>2026-10-14</t>
        </is>
      </c>
      <c r="G589" s="25" t="inlineStr">
        <is>
          <t>page_lue</t>
        </is>
      </c>
      <c r="H589" s="25" t="inlineStr">
        <is>
          <t>§6 autres mécanismes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2026-10-14T18:51:51Z</dcterms:created>
  <dcterms:modified xmlns:dcterms="http://purl.org/dc/terms/" xmlns:xsi="http://www.w3.org/2001/XMLSchema-instance" xsi:type="dcterms:W3CDTF">2026-10-14T18:51:52Z</dcterms:modified>
</cp:coreProperties>
</file>